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O:\VENDAS\BASE DADOS\IATAGAM\BASES\ACOMPANHAMENTO DIARIO\"/>
    </mc:Choice>
  </mc:AlternateContent>
  <xr:revisionPtr revIDLastSave="0" documentId="13_ncr:1_{2BA2C6A9-6DF1-4D5F-A4AE-B60DE4D2A135}" xr6:coauthVersionLast="47" xr6:coauthVersionMax="47" xr10:uidLastSave="{00000000-0000-0000-0000-000000000000}"/>
  <bookViews>
    <workbookView xWindow="-120" yWindow="-120" windowWidth="29040" windowHeight="15720" xr2:uid="{FAEB2262-BDE3-4F12-A731-117DAEC20A7D}"/>
  </bookViews>
  <sheets>
    <sheet name="Planilha1" sheetId="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0" i="2" l="1"/>
  <c r="V15" i="2"/>
  <c r="V16" i="2"/>
  <c r="V18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10" i="2"/>
  <c r="AM3" i="2"/>
  <c r="AM4" i="2"/>
  <c r="AM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C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3" i="2"/>
  <c r="O14" i="2" a="1"/>
  <c r="O15" i="2" a="1"/>
  <c r="O13" i="2" a="1"/>
  <c r="O12" i="2" a="1"/>
  <c r="O11" i="2" a="1"/>
  <c r="O17" i="2" a="1"/>
  <c r="O16" i="2" a="1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D35" i="2"/>
  <c r="D34" i="2"/>
  <c r="D33" i="2"/>
  <c r="D32" i="2"/>
  <c r="D31" i="2"/>
  <c r="D30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AN20" i="2"/>
  <c r="AN19" i="2"/>
  <c r="AN18" i="2"/>
  <c r="AN17" i="2"/>
  <c r="AN16" i="2"/>
  <c r="AN15" i="2"/>
  <c r="AN14" i="2"/>
  <c r="AN13" i="2"/>
  <c r="AN12" i="2"/>
  <c r="AN11" i="2"/>
  <c r="AN10" i="2"/>
  <c r="AN9" i="2"/>
  <c r="AN8" i="2"/>
  <c r="AN7" i="2"/>
  <c r="AN6" i="2"/>
  <c r="AN5" i="2"/>
  <c r="AN4" i="2"/>
  <c r="AN3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AD8" i="2"/>
  <c r="AD7" i="2"/>
  <c r="AD6" i="2"/>
  <c r="AD5" i="2"/>
  <c r="AD4" i="2"/>
  <c r="AD3" i="2"/>
  <c r="V31" i="2"/>
  <c r="J32" i="2"/>
  <c r="J34" i="2"/>
  <c r="P23" i="2"/>
  <c r="P12" i="2"/>
  <c r="P24" i="2"/>
  <c r="P11" i="2"/>
  <c r="D44" i="2"/>
  <c r="D43" i="2"/>
  <c r="J33" i="2"/>
  <c r="V32" i="2"/>
  <c r="P14" i="2"/>
  <c r="V34" i="2"/>
  <c r="P15" i="2"/>
  <c r="V30" i="2"/>
  <c r="D41" i="2"/>
  <c r="P17" i="2"/>
  <c r="P13" i="2"/>
  <c r="P16" i="2"/>
  <c r="P21" i="2"/>
  <c r="V33" i="2"/>
  <c r="D42" i="2"/>
  <c r="P22" i="2"/>
  <c r="J31" i="2"/>
  <c r="P25" i="2"/>
  <c r="J35" i="2"/>
  <c r="D40" i="2"/>
  <c r="AM21" i="2" l="1"/>
  <c r="AL21" i="2"/>
  <c r="AK21" i="2"/>
  <c r="AJ21" i="2"/>
  <c r="AC21" i="2"/>
  <c r="AB21" i="2"/>
  <c r="AA21" i="2"/>
  <c r="Z21" i="2"/>
  <c r="C4" i="2" l="1"/>
  <c r="Q11" i="2"/>
  <c r="Q17" i="2"/>
  <c r="Q16" i="2"/>
  <c r="Q15" i="2"/>
  <c r="Q14" i="2"/>
  <c r="Q13" i="2"/>
  <c r="Q12" i="2"/>
  <c r="E12" i="2"/>
  <c r="E31" i="2" l="1"/>
  <c r="E15" i="2"/>
  <c r="E32" i="2"/>
  <c r="E16" i="2"/>
  <c r="E30" i="2"/>
  <c r="E14" i="2"/>
  <c r="E13" i="2"/>
  <c r="E28" i="2"/>
  <c r="E27" i="2"/>
  <c r="E11" i="2"/>
  <c r="E26" i="2"/>
  <c r="E25" i="2"/>
  <c r="E24" i="2"/>
  <c r="E21" i="2"/>
  <c r="E22" i="2"/>
  <c r="E20" i="2"/>
  <c r="E35" i="2"/>
  <c r="E19" i="2"/>
  <c r="E23" i="2"/>
  <c r="E34" i="2"/>
  <c r="E18" i="2"/>
  <c r="E33" i="2"/>
  <c r="E17" i="2"/>
  <c r="E10" i="2"/>
  <c r="O4" i="2" l="1"/>
  <c r="O5" i="2"/>
  <c r="O6" i="2" l="1"/>
  <c r="O7" i="2" s="1"/>
  <c r="I4" i="2" l="1"/>
  <c r="U4" i="2" l="1"/>
  <c r="AE18" i="2" l="1" a="1"/>
  <c r="AF18" i="2" s="1" a="1"/>
  <c r="AG18" i="2" s="1" a="1"/>
  <c r="AE12" i="2" a="1"/>
  <c r="AF12" i="2" s="1" a="1"/>
  <c r="AG12" i="2" s="1" a="1"/>
  <c r="AE19" i="2" a="1"/>
  <c r="AF19" i="2" s="1" a="1"/>
  <c r="AG19" i="2" s="1" a="1"/>
  <c r="AE7" i="2" a="1"/>
  <c r="AF7" i="2" s="1" a="1"/>
  <c r="AG7" i="2" s="1" a="1"/>
  <c r="AE11" i="2" a="1"/>
  <c r="AF11" i="2" s="1" a="1"/>
  <c r="AG11" i="2" s="1" a="1"/>
  <c r="AE17" i="2" a="1"/>
  <c r="AF17" i="2" s="1" a="1"/>
  <c r="AG17" i="2" s="1" a="1"/>
  <c r="AE9" i="2" a="1"/>
  <c r="AF9" i="2" s="1" a="1"/>
  <c r="AG9" i="2" s="1" a="1"/>
  <c r="AE8" i="2" a="1"/>
  <c r="AF8" i="2" s="1" a="1"/>
  <c r="AG8" i="2" s="1" a="1"/>
  <c r="AE20" i="2" a="1"/>
  <c r="AF20" i="2" s="1" a="1"/>
  <c r="AG20" i="2" s="1" a="1"/>
  <c r="AE4" i="2" a="1"/>
  <c r="AF4" i="2" s="1" a="1"/>
  <c r="AG4" i="2" s="1" a="1"/>
  <c r="AE15" i="2" a="1"/>
  <c r="AF15" i="2" s="1" a="1"/>
  <c r="AG15" i="2" s="1" a="1"/>
  <c r="AE16" i="2" a="1"/>
  <c r="AF16" i="2" s="1" a="1"/>
  <c r="AG16" i="2" s="1" a="1"/>
  <c r="AE14" i="2" a="1"/>
  <c r="AF14" i="2" s="1" a="1"/>
  <c r="AG14" i="2" s="1" a="1"/>
  <c r="AE6" i="2" a="1"/>
  <c r="AF6" i="2" s="1" a="1"/>
  <c r="AG6" i="2" s="1" a="1"/>
  <c r="AE13" i="2" a="1"/>
  <c r="AF13" i="2" s="1" a="1"/>
  <c r="AG13" i="2" s="1" a="1"/>
  <c r="AE10" i="2" a="1"/>
  <c r="AF10" i="2" s="1" a="1"/>
  <c r="AG10" i="2" s="1" a="1"/>
  <c r="AE5" i="2" a="1"/>
  <c r="AF5" i="2" s="1" a="1"/>
  <c r="AG5" i="2" s="1" a="1"/>
  <c r="AO11" i="2" a="1"/>
  <c r="AP11" i="2" s="1" a="1"/>
  <c r="AQ11" i="2" s="1" a="1"/>
  <c r="AO9" i="2" a="1"/>
  <c r="AP9" i="2" s="1" a="1"/>
  <c r="AQ9" i="2" s="1" a="1"/>
  <c r="AO10" i="2" a="1"/>
  <c r="AP10" i="2" s="1" a="1"/>
  <c r="AQ10" i="2" s="1" a="1"/>
  <c r="AO8" i="2" a="1"/>
  <c r="AP8" i="2" s="1" a="1"/>
  <c r="AQ8" i="2" s="1" a="1"/>
  <c r="AO7" i="2" a="1"/>
  <c r="AP7" i="2" s="1" a="1"/>
  <c r="AQ7" i="2" s="1" a="1"/>
  <c r="AO18" i="2" a="1"/>
  <c r="AP18" i="2" s="1" a="1"/>
  <c r="AQ18" i="2" s="1" a="1"/>
  <c r="AO19" i="2" a="1"/>
  <c r="AP19" i="2" s="1" a="1"/>
  <c r="AQ19" i="2" s="1" a="1"/>
  <c r="AO20" i="2" a="1"/>
  <c r="AP20" i="2" s="1" a="1"/>
  <c r="AQ20" i="2" s="1" a="1"/>
  <c r="AO4" i="2" a="1"/>
  <c r="AP4" i="2" s="1" a="1"/>
  <c r="AQ4" i="2" s="1" a="1"/>
  <c r="AO15" i="2" a="1"/>
  <c r="AP15" i="2" s="1" a="1"/>
  <c r="AQ15" i="2" s="1" a="1"/>
  <c r="AO5" i="2" a="1"/>
  <c r="AP5" i="2" s="1" a="1"/>
  <c r="AQ5" i="2" s="1" a="1"/>
  <c r="AO17" i="2" a="1"/>
  <c r="AP17" i="2" s="1" a="1"/>
  <c r="AQ17" i="2" s="1" a="1"/>
  <c r="AO12" i="2" a="1"/>
  <c r="AP12" i="2" s="1" a="1"/>
  <c r="AQ12" i="2" s="1" a="1"/>
  <c r="AO13" i="2" a="1"/>
  <c r="AP13" i="2" s="1" a="1"/>
  <c r="AQ13" i="2" s="1" a="1"/>
  <c r="AO14" i="2" a="1"/>
  <c r="AP14" i="2" s="1" a="1"/>
  <c r="AQ14" i="2" s="1" a="1"/>
  <c r="AO16" i="2" a="1"/>
  <c r="AP16" i="2" s="1" a="1"/>
  <c r="AQ16" i="2" s="1" a="1"/>
  <c r="AO6" i="2" a="1"/>
  <c r="AP6" i="2" s="1" a="1"/>
  <c r="AQ6" i="2" s="1" a="1"/>
  <c r="AN21" i="2" l="1"/>
  <c r="AO3" i="2" a="1"/>
  <c r="AP3" i="2" s="1" a="1"/>
  <c r="AQ3" i="2" s="1" a="1"/>
  <c r="AQ21" i="2" s="1"/>
  <c r="AD21" i="2"/>
  <c r="AE3" i="2" a="1"/>
  <c r="AF3" i="2" s="1" a="1"/>
  <c r="AG3" i="2" s="1" a="1"/>
  <c r="AG21" i="2" s="1"/>
  <c r="U34" i="2" l="1" a="1"/>
  <c r="W34" i="2" s="1"/>
  <c r="D29" i="2" l="1"/>
  <c r="D36" i="2"/>
  <c r="E36" i="2" s="1"/>
  <c r="E29" i="2" l="1"/>
  <c r="C5" i="2"/>
  <c r="C6" i="2" s="1"/>
  <c r="C7" i="2" s="1"/>
  <c r="C42" i="2" l="1" a="1"/>
  <c r="E42" i="2" s="1"/>
  <c r="C43" i="2" a="1"/>
  <c r="E43" i="2" s="1"/>
  <c r="C40" i="2" a="1"/>
  <c r="E40" i="2" s="1"/>
  <c r="C41" i="2" a="1"/>
  <c r="E41" i="2" s="1"/>
  <c r="C44" i="2" a="1"/>
  <c r="E44" i="2" s="1"/>
  <c r="I32" i="2" a="1"/>
  <c r="K32" i="2" s="1"/>
  <c r="I31" i="2" a="1"/>
  <c r="K31" i="2" s="1"/>
  <c r="I34" i="2" a="1"/>
  <c r="K34" i="2" s="1"/>
  <c r="O23" i="2" a="1"/>
  <c r="Q23" i="2" s="1"/>
  <c r="I35" i="2" a="1"/>
  <c r="K35" i="2" s="1"/>
  <c r="I33" i="2" a="1"/>
  <c r="K33" i="2" s="1"/>
  <c r="O24" i="2" a="1"/>
  <c r="Q24" i="2" s="1"/>
  <c r="O21" i="2" a="1"/>
  <c r="Q21" i="2" s="1"/>
  <c r="O25" i="2" a="1"/>
  <c r="Q25" i="2" s="1"/>
  <c r="O22" i="2" a="1"/>
  <c r="Q22" i="2" s="1"/>
  <c r="U30" i="2" l="1" a="1"/>
  <c r="W30" i="2" s="1"/>
  <c r="U31" i="2" a="1"/>
  <c r="W31" i="2" s="1"/>
  <c r="U32" i="2" a="1"/>
  <c r="W32" i="2" s="1"/>
  <c r="U33" i="2" a="1"/>
  <c r="W33" i="2" s="1"/>
  <c r="J17" i="2" l="1"/>
  <c r="K17" i="2" s="1"/>
  <c r="J26" i="2"/>
  <c r="K26" i="2" s="1"/>
  <c r="J13" i="2"/>
  <c r="K13" i="2" s="1"/>
  <c r="J10" i="2"/>
  <c r="J22" i="2"/>
  <c r="K22" i="2" s="1"/>
  <c r="J20" i="2"/>
  <c r="K20" i="2" s="1"/>
  <c r="J21" i="2"/>
  <c r="K21" i="2" s="1"/>
  <c r="J25" i="2"/>
  <c r="K25" i="2" s="1"/>
  <c r="J16" i="2"/>
  <c r="K16" i="2" s="1"/>
  <c r="J14" i="2"/>
  <c r="K14" i="2" s="1"/>
  <c r="J15" i="2"/>
  <c r="K15" i="2" s="1"/>
  <c r="J12" i="2"/>
  <c r="K12" i="2" s="1"/>
  <c r="J11" i="2"/>
  <c r="K11" i="2" s="1"/>
  <c r="J27" i="2"/>
  <c r="K27" i="2" s="1"/>
  <c r="J23" i="2"/>
  <c r="K23" i="2" s="1"/>
  <c r="J24" i="2"/>
  <c r="K24" i="2" s="1"/>
  <c r="K10" i="2" l="1"/>
  <c r="W15" i="2" l="1"/>
  <c r="W18" i="2"/>
  <c r="W16" i="2"/>
  <c r="W10" i="2" l="1"/>
  <c r="J19" i="2" l="1"/>
  <c r="K19" i="2" s="1"/>
  <c r="V12" i="2" l="1"/>
  <c r="W12" i="2" s="1"/>
  <c r="V24" i="2"/>
  <c r="W24" i="2" s="1"/>
  <c r="V26" i="2"/>
  <c r="W26" i="2" s="1"/>
  <c r="V21" i="2"/>
  <c r="W21" i="2" s="1"/>
  <c r="V11" i="2"/>
  <c r="V17" i="2"/>
  <c r="W17" i="2" s="1"/>
  <c r="V23" i="2"/>
  <c r="W23" i="2" s="1"/>
  <c r="V22" i="2"/>
  <c r="W22" i="2" s="1"/>
  <c r="V25" i="2"/>
  <c r="W25" i="2" s="1"/>
  <c r="V20" i="2"/>
  <c r="W20" i="2" s="1"/>
  <c r="V14" i="2"/>
  <c r="W14" i="2" s="1"/>
  <c r="V13" i="2"/>
  <c r="W13" i="2" s="1"/>
  <c r="V19" i="2"/>
  <c r="W19" i="2" s="1"/>
  <c r="W11" i="2" l="1"/>
  <c r="U5" i="2"/>
  <c r="U6" i="2" s="1"/>
  <c r="U7" i="2" s="1"/>
  <c r="J18" i="2" l="1"/>
  <c r="I5" i="2" l="1"/>
  <c r="I6" i="2" s="1"/>
  <c r="I7" i="2" s="1"/>
  <c r="K1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2">
    <metadataType name="XLMDX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metadataStrings count="4">
    <s v="ThisWorkbookDataModel"/>
    <s v="{[Intervalo 2].[DATA].[All]}"/>
    <s v="{[Intervalo 2].[PRODUTO].&amp;[MIST PAO DA FAZENDA VIAPANE 10KG]}"/>
    <s v="{[Intervalo 2].[DES_TIPO_OPERACAO].&amp;[VENDA],[Intervalo 2].[DES_TIPO_OPERACAO].&amp;[VENDA SAT]}"/>
  </metadataStrings>
  <mdxMetadata count="3">
    <mdx n="0" f="s">
      <ms ns="1" c="0"/>
    </mdx>
    <mdx n="0" f="s">
      <ms ns="2" c="0"/>
    </mdx>
    <mdx n="0" f="s">
      <ms ns="3" c="0"/>
    </mdx>
  </mdx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<sst xmlns="http://schemas.openxmlformats.org/spreadsheetml/2006/main" count="273" uniqueCount="62">
  <si>
    <t>META DIA</t>
  </si>
  <si>
    <t>ATINGIDO</t>
  </si>
  <si>
    <t>FALTA</t>
  </si>
  <si>
    <t>REALIZADO</t>
  </si>
  <si>
    <t>SEMANA 1</t>
  </si>
  <si>
    <t>VENDEDOR</t>
  </si>
  <si>
    <t>COMPROMISSO</t>
  </si>
  <si>
    <t>CAMPINAS</t>
  </si>
  <si>
    <t>CENTRO</t>
  </si>
  <si>
    <t>INDAIATUBA</t>
  </si>
  <si>
    <t>INTERLAGOS</t>
  </si>
  <si>
    <t>JUNDIAI</t>
  </si>
  <si>
    <t>LESTE</t>
  </si>
  <si>
    <t>LESTE MOOCA</t>
  </si>
  <si>
    <t>LESTE PENHA</t>
  </si>
  <si>
    <t>LESTE TATUAPE</t>
  </si>
  <si>
    <t>MOGI</t>
  </si>
  <si>
    <t>NORTE</t>
  </si>
  <si>
    <t>OSASCO</t>
  </si>
  <si>
    <t>PIRITUBA</t>
  </si>
  <si>
    <t>SANTO ANDRE</t>
  </si>
  <si>
    <t>SBC</t>
  </si>
  <si>
    <t>SJC</t>
  </si>
  <si>
    <t>SJC/VALE</t>
  </si>
  <si>
    <t>VENDEDOR INTERNO 1</t>
  </si>
  <si>
    <t>META</t>
  </si>
  <si>
    <t>KEY ABC</t>
  </si>
  <si>
    <t>KEY PIRACICABA</t>
  </si>
  <si>
    <t>KEY ZL</t>
  </si>
  <si>
    <t>KEY INTERIOR</t>
  </si>
  <si>
    <t>KEY SP</t>
  </si>
  <si>
    <t>KEY SJC</t>
  </si>
  <si>
    <t>KEY CASA</t>
  </si>
  <si>
    <t>META A</t>
  </si>
  <si>
    <t>GERAL</t>
  </si>
  <si>
    <t>VAREJO</t>
  </si>
  <si>
    <t>KEY</t>
  </si>
  <si>
    <t>META SEMANAL</t>
  </si>
  <si>
    <t>META MÊS</t>
  </si>
  <si>
    <t>ECOMMERCE</t>
  </si>
  <si>
    <t>PIRACICABA</t>
  </si>
  <si>
    <t>MOOCA</t>
  </si>
  <si>
    <t>PENHA</t>
  </si>
  <si>
    <t>TATUAPE</t>
  </si>
  <si>
    <t>VALE</t>
  </si>
  <si>
    <t>INTERNO 1</t>
  </si>
  <si>
    <t>REFERENCIA</t>
  </si>
  <si>
    <t>SEMANAL</t>
  </si>
  <si>
    <t>SEMANA 2</t>
  </si>
  <si>
    <t>SEMANA 3</t>
  </si>
  <si>
    <t>SEMANA 4</t>
  </si>
  <si>
    <t>IATAGAM JUNIOR</t>
  </si>
  <si>
    <t>SEMANA 5</t>
  </si>
  <si>
    <t>PREMIAÇÃO POSITIVAÇÃO</t>
  </si>
  <si>
    <t>PREMIAÇÃO ATINGIDA</t>
  </si>
  <si>
    <t>PRÓXIMA META</t>
  </si>
  <si>
    <t>PREMIAÇÃO FATURAMENTO</t>
  </si>
  <si>
    <t>META B</t>
  </si>
  <si>
    <t>META C</t>
  </si>
  <si>
    <t>META D</t>
  </si>
  <si>
    <t>Total</t>
  </si>
  <si>
    <t>POSITIVACAO PAO DA FAZENDA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</si>
</sst>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_-&quot;R$&quot;\ * #,##0_-;\-&quot;R$&quot;\ * #,##0_-;_-&quot;R$&quot;\ 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rgb="FF0813F8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813F8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theme="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4"/>
        <bgColor theme="4"/>
      </patternFill>
    </fill>
    <fill>
      <patternFill patternType="solid">
        <fgColor theme="7"/>
        <bgColor theme="7"/>
      </patternFill>
    </fill>
    <fill>
      <patternFill patternType="solid">
        <fgColor theme="5"/>
        <bgColor theme="5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theme="4"/>
        <bgColor indexed="64"/>
      </patternFill>
    </fill>
  </fills>
  <borders count="1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7" tint="0.39997558519241921"/>
      </top>
      <bottom/>
      <diagonal/>
    </border>
    <border>
      <left/>
      <right/>
      <top style="thin">
        <color rgb="FF8EA9DB"/>
      </top>
      <bottom/>
      <diagonal/>
    </border>
    <border>
      <left style="thin">
        <color rgb="FF8EA9DB"/>
      </left>
      <right/>
      <top/>
      <bottom style="thin">
        <color rgb="FF8EA9DB"/>
      </bottom>
      <diagonal/>
    </border>
    <border>
      <left/>
      <right/>
      <top/>
      <bottom style="thin">
        <color rgb="FF8EA9DB"/>
      </bottom>
      <diagonal/>
    </border>
    <border>
      <left/>
      <right style="thin">
        <color rgb="FF8EA9DB"/>
      </right>
      <top/>
      <bottom style="thin">
        <color rgb="FF8EA9DB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4">
    <xf numFmtId="0" fontId="0" fillId="0" borderId="0" xfId="0"/>
    <xf numFmtId="44" fontId="0" fillId="0" borderId="0" xfId="2" applyFont="1"/>
    <xf numFmtId="44" fontId="0" fillId="0" borderId="0" xfId="2" applyFont="1" applyAlignment="1">
      <alignment horizontal="center"/>
    </xf>
    <xf numFmtId="10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2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44" fontId="0" fillId="0" borderId="0" xfId="0" applyNumberFormat="1" applyAlignment="1">
      <alignment horizontal="center"/>
    </xf>
    <xf numFmtId="0" fontId="3" fillId="2" borderId="0" xfId="0" applyFont="1" applyFill="1" applyAlignment="1">
      <alignment horizontal="center"/>
    </xf>
    <xf numFmtId="44" fontId="4" fillId="0" borderId="0" xfId="2" applyFont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44" fontId="0" fillId="0" borderId="0" xfId="0" quotePrefix="1" applyNumberFormat="1" applyAlignment="1">
      <alignment horizontal="center"/>
    </xf>
    <xf numFmtId="0" fontId="3" fillId="0" borderId="0" xfId="0" applyFont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44" fontId="0" fillId="0" borderId="6" xfId="2" applyFont="1" applyFill="1" applyBorder="1" applyAlignment="1">
      <alignment horizontal="center"/>
    </xf>
    <xf numFmtId="44" fontId="0" fillId="0" borderId="6" xfId="0" applyNumberFormat="1" applyBorder="1" applyAlignment="1">
      <alignment horizontal="center"/>
    </xf>
    <xf numFmtId="0" fontId="0" fillId="0" borderId="0" xfId="0" applyAlignment="1">
      <alignment horizontal="left"/>
    </xf>
    <xf numFmtId="44" fontId="0" fillId="0" borderId="5" xfId="2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164" fontId="5" fillId="0" borderId="0" xfId="2" applyNumberFormat="1" applyFont="1" applyAlignment="1">
      <alignment horizontal="center"/>
    </xf>
    <xf numFmtId="164" fontId="0" fillId="0" borderId="0" xfId="2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0" fontId="7" fillId="8" borderId="8" xfId="0" applyFont="1" applyFill="1" applyBorder="1" applyAlignment="1">
      <alignment horizontal="center"/>
    </xf>
    <xf numFmtId="0" fontId="10" fillId="8" borderId="8" xfId="0" applyFont="1" applyFill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8" borderId="8" xfId="0" applyFont="1" applyFill="1" applyBorder="1" applyAlignment="1">
      <alignment horizontal="left"/>
    </xf>
    <xf numFmtId="0" fontId="10" fillId="0" borderId="8" xfId="0" applyFont="1" applyBorder="1" applyAlignment="1">
      <alignment horizontal="left"/>
    </xf>
    <xf numFmtId="0" fontId="9" fillId="7" borderId="0" xfId="0" applyFont="1" applyFill="1" applyAlignment="1">
      <alignment horizontal="left" vertical="center" wrapText="1"/>
    </xf>
    <xf numFmtId="0" fontId="9" fillId="7" borderId="0" xfId="0" applyFont="1" applyFill="1" applyAlignment="1">
      <alignment horizontal="center" vertical="center" wrapText="1"/>
    </xf>
    <xf numFmtId="0" fontId="8" fillId="0" borderId="9" xfId="0" applyFont="1" applyBorder="1" applyAlignment="1">
      <alignment horizontal="left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11" fillId="9" borderId="0" xfId="0" applyFont="1" applyFill="1" applyAlignment="1">
      <alignment horizontal="left"/>
    </xf>
    <xf numFmtId="0" fontId="3" fillId="9" borderId="0" xfId="0" applyFont="1" applyFill="1" applyAlignment="1">
      <alignment horizontal="left"/>
    </xf>
    <xf numFmtId="44" fontId="3" fillId="0" borderId="0" xfId="2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44" fontId="0" fillId="0" borderId="5" xfId="0" applyNumberFormat="1" applyBorder="1" applyAlignment="1">
      <alignment horizontal="center"/>
    </xf>
  </cellXfs>
  <cellStyles count="7">
    <cellStyle name="Moeda" xfId="2" builtinId="4"/>
    <cellStyle name="Moeda 2" xfId="4" xr:uid="{7DE5F1F3-E6BC-4FE7-8092-9A48A77E68FF}"/>
    <cellStyle name="Moeda 2 2" xfId="6" xr:uid="{5A1B1597-2B4C-4E88-8253-ECA821061BFB}"/>
    <cellStyle name="Moeda 3" xfId="5" xr:uid="{ADFE8EAE-C1CD-4B21-8B9A-EE8DE4CF3F21}"/>
    <cellStyle name="Moeda 4" xfId="3" xr:uid="{34F9FCC7-AAE8-4E87-B57D-864C5EA9E99E}"/>
    <cellStyle name="Normal" xfId="0" builtinId="0"/>
    <cellStyle name="Porcentagem" xfId="1" builtinId="5"/>
  </cellStyles>
  <dxfs count="1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8EA9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8EA9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8EA9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8EA9DB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813F8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8EA9DB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813F8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8EA9DB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813F8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8EA9DB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813F8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8EA9DB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rgb="FF8EA9DB"/>
        </top>
        <bottom/>
      </border>
    </dxf>
    <dxf>
      <border outline="0">
        <left style="thin">
          <color rgb="FF8EA9DB"/>
        </left>
        <right style="thin">
          <color rgb="FF8EA9DB"/>
        </right>
        <top style="thin">
          <color rgb="FF8EA9DB"/>
        </top>
        <bottom style="double">
          <color rgb="FF4472C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4472C4"/>
          <bgColor rgb="FF4472C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R$&quot;\ * #,##0_-;\-&quot;R$&quot;\ * #,##0_-;_-&quot;R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R$&quot;\ * #,##0_-;\-&quot;R$&quot;\ * #,##0_-;_-&quot;R$&quot;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_-&quot;R$&quot;\ * #,##0_-;\-&quot;R$&quot;\ * #,##0_-;_-&quot;R$&quot;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_-&quot;R$&quot;\ * #,##0_-;\-&quot;R$&quot;\ * #,##0_-;_-&quot;R$&quot;\ * &quot;-&quot;??_-;_-@_-"/>
      <alignment horizontal="center" vertical="bottom" textRotation="0" wrapText="0" indent="0" justifyLastLine="0" shrinkToFit="0" readingOrder="0"/>
    </dxf>
    <dxf>
      <numFmt numFmtId="164" formatCode="_-&quot;R$&quot;\ * #,##0_-;\-&quot;R$&quot;\ * #,##0_-;_-&quot;R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R$&quot;\ * #,##0_-;\-&quot;R$&quot;\ * #,##0_-;_-&quot;R$&quot;\ * &quot;-&quot;??_-;_-@_-"/>
      <alignment horizontal="center" vertical="bottom" textRotation="0" wrapText="0" indent="0" justifyLastLine="0" shrinkToFit="0" readingOrder="0"/>
    </dxf>
    <dxf>
      <numFmt numFmtId="164" formatCode="_-&quot;R$&quot;\ * #,##0_-;\-&quot;R$&quot;\ * #,##0_-;_-&quot;R$&quot;\ * &quot;-&quot;??_-;_-@_-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813F8"/>
        <name val="Calibri"/>
        <family val="2"/>
        <scheme val="minor"/>
      </font>
      <numFmt numFmtId="164" formatCode="_-&quot;R$&quot;\ * #,##0_-;\-&quot;R$&quot;\ * #,##0_-;_-&quot;R$&quot;\ * &quot;-&quot;??_-;_-@_-"/>
      <alignment horizontal="center" vertical="bottom" textRotation="0" wrapText="0" indent="0" justifyLastLine="0" shrinkToFit="0" readingOrder="0"/>
    </dxf>
    <dxf>
      <numFmt numFmtId="164" formatCode="_-&quot;R$&quot;\ * #,##0_-;\-&quot;R$&quot;\ * #,##0_-;_-&quot;R$&quot;\ * &quot;-&quot;??_-;_-@_-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813F8"/>
        <name val="Calibri"/>
        <family val="2"/>
        <scheme val="minor"/>
      </font>
      <numFmt numFmtId="164" formatCode="_-&quot;R$&quot;\ * #,##0_-;\-&quot;R$&quot;\ * #,##0_-;_-&quot;R$&quot;\ * &quot;-&quot;??_-;_-@_-"/>
      <alignment horizontal="center" vertical="bottom" textRotation="0" wrapText="0" indent="0" justifyLastLine="0" shrinkToFit="0" readingOrder="0"/>
    </dxf>
    <dxf>
      <numFmt numFmtId="164" formatCode="_-&quot;R$&quot;\ * #,##0_-;\-&quot;R$&quot;\ * #,##0_-;_-&quot;R$&quot;\ * &quot;-&quot;??_-;_-@_-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813F8"/>
        <name val="Calibri"/>
        <family val="2"/>
        <scheme val="minor"/>
      </font>
      <numFmt numFmtId="164" formatCode="_-&quot;R$&quot;\ * #,##0_-;\-&quot;R$&quot;\ * #,##0_-;_-&quot;R$&quot;\ * &quot;-&quot;??_-;_-@_-"/>
      <alignment horizontal="center" vertical="bottom" textRotation="0" wrapText="0" indent="0" justifyLastLine="0" shrinkToFit="0" readingOrder="0"/>
    </dxf>
    <dxf>
      <numFmt numFmtId="164" formatCode="_-&quot;R$&quot;\ * #,##0_-;\-&quot;R$&quot;\ * #,##0_-;_-&quot;R$&quot;\ * &quot;-&quot;??_-;_-@_-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813F8"/>
        <name val="Calibri"/>
        <family val="2"/>
        <scheme val="minor"/>
      </font>
      <numFmt numFmtId="164" formatCode="_-&quot;R$&quot;\ * #,##0_-;\-&quot;R$&quot;\ * #,##0_-;_-&quot;R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ill>
        <patternFill patternType="none">
          <fgColor indexed="64"/>
          <bgColor auto="1"/>
        </patternFill>
      </fill>
    </dxf>
    <dxf>
      <border outline="0">
        <left style="thin">
          <color theme="1"/>
        </left>
        <right style="thin">
          <color theme="1"/>
        </right>
        <top style="thin">
          <color theme="1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7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7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/>
      </border>
    </dxf>
    <dxf>
      <border outline="0">
        <left style="thin">
          <color theme="7" tint="0.39997558519241921"/>
        </left>
        <right style="thin">
          <color theme="7" tint="0.39997558519241921"/>
        </right>
        <top style="thin">
          <color theme="7" tint="0.39997558519241921"/>
        </top>
        <bottom style="thin">
          <color theme="7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D9E1F2"/>
          <bgColor rgb="FFD9E1F2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4472C4"/>
        </top>
      </border>
    </dxf>
    <dxf>
      <font>
        <b/>
        <color rgb="FFFFFFFF"/>
      </font>
      <fill>
        <patternFill patternType="solid">
          <fgColor rgb="FF4472C4"/>
          <bgColor rgb="FF4472C4"/>
        </patternFill>
      </fill>
    </dxf>
    <dxf>
      <font>
        <color rgb="FF000000"/>
      </font>
      <border>
        <left style="thin">
          <color rgb="FF8EA9DB"/>
        </left>
        <right style="thin">
          <color rgb="FF8EA9DB"/>
        </right>
        <top style="thin">
          <color rgb="FF8EA9DB"/>
        </top>
        <bottom style="thin">
          <color rgb="FF8EA9DB"/>
        </bottom>
        <horizontal style="thin">
          <color rgb="FF8EA9DB"/>
        </horizontal>
      </border>
    </dxf>
  </dxfs>
  <tableStyles count="1" defaultTableStyle="TableStyleMedium2" defaultPivotStyle="PivotStyleLight16">
    <tableStyle name="TableStyleMedium2 2" pivot="0" count="7" xr9:uid="{EC56EBB1-BF97-45C6-9A82-3C30194D7007}">
      <tableStyleElement type="wholeTable" dxfId="117"/>
      <tableStyleElement type="headerRow" dxfId="116"/>
      <tableStyleElement type="totalRow" dxfId="115"/>
      <tableStyleElement type="firstColumn" dxfId="114"/>
      <tableStyleElement type="lastColumn" dxfId="113"/>
      <tableStyleElement type="firstRowStripe" dxfId="112"/>
      <tableStyleElement type="firstColumnStripe" dxfId="1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Conversor%20CX%20vs%20KG.xlsm" TargetMode="External"/><Relationship Id="rId2" Type="http://schemas.openxmlformats.org/officeDocument/2006/relationships/externalLinkPath" Target="file:///O:\VENDAS\BASE%20DADOS\IATAGAM\BASES\Conversor%20CX%20vs%20KG.xlsm" TargetMode="External"/><Relationship Id="rId1" Type="http://schemas.openxmlformats.org/officeDocument/2006/relationships/externalLinkPath" Target="/VENDAS/BASE%20DADOS/IATAGAM/BASES/Conversor%20CX%20vs%20KG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14H"/>
      <sheetName val="TOTAL"/>
      <sheetName val="VENDA DIA"/>
      <sheetName val="SENSUM"/>
      <sheetName val="CONVERSOR"/>
      <sheetName val="BASE PYTHON"/>
    </sheetNames>
    <sheetDataSet>
      <sheetData sheetId="0"/>
      <sheetData sheetId="1"/>
      <sheetData sheetId="2"/>
      <sheetData sheetId="3"/>
      <sheetData sheetId="4"/>
      <sheetData sheetId="5">
        <row r="1">
          <cell r="E1" t="str">
            <v>FATURAMENTO GERAL</v>
          </cell>
          <cell r="H1" t="str">
            <v>VAREJO/KEY DIA</v>
          </cell>
          <cell r="K1" t="str">
            <v>POSITIVACAO PAO DA FAZENDA</v>
          </cell>
          <cell r="L1" t="e">
            <v>#VALUE!</v>
          </cell>
          <cell r="M1">
            <v>0</v>
          </cell>
        </row>
        <row r="2">
          <cell r="E2" t="str">
            <v>DATA</v>
          </cell>
          <cell r="F2" t="str" vm="1">
            <v>All</v>
          </cell>
          <cell r="H2" t="str">
            <v>DATA</v>
          </cell>
          <cell r="I2" t="str" vm="1">
            <v>All</v>
          </cell>
          <cell r="K2" t="str">
            <v>DATA</v>
          </cell>
          <cell r="L2" t="str" vm="1">
            <v>All</v>
          </cell>
        </row>
        <row r="3">
          <cell r="K3" t="str">
            <v>DES_TIPO_OPERACAO</v>
          </cell>
          <cell r="L3" t="str" vm="3">
            <v>(Vários itens)</v>
          </cell>
        </row>
        <row r="4">
          <cell r="E4" t="str">
            <v>Rótulos de Linha</v>
          </cell>
          <cell r="F4" t="str">
            <v>Soma de TOTAL</v>
          </cell>
          <cell r="H4" t="str">
            <v>Rótulos de Linha</v>
          </cell>
          <cell r="I4" t="str">
            <v>Soma de TOTAL</v>
          </cell>
          <cell r="K4" t="str">
            <v>PRODUTO</v>
          </cell>
          <cell r="L4" t="str" vm="2">
            <v>MIST PAO DA FAZENDA VIAPANE 10KG</v>
          </cell>
          <cell r="P4" t="str">
            <v>Soma de TOTAL</v>
          </cell>
        </row>
        <row r="5">
          <cell r="E5" t="str">
            <v>CAMPINAS</v>
          </cell>
          <cell r="F5">
            <v>48786.559999999998</v>
          </cell>
          <cell r="H5" t="str">
            <v>CAMPINAS</v>
          </cell>
          <cell r="I5">
            <v>48786.559999999998</v>
          </cell>
        </row>
        <row r="6">
          <cell r="E6" t="str">
            <v>CENTRO</v>
          </cell>
          <cell r="F6">
            <v>272619.34999999963</v>
          </cell>
          <cell r="H6" t="str">
            <v>CENTRO</v>
          </cell>
          <cell r="I6">
            <v>272619.34999999963</v>
          </cell>
          <cell r="K6" t="str">
            <v>Contagem Distinta de COD_CLIENTE</v>
          </cell>
          <cell r="L6" t="str">
            <v>Rótulos de Coluna</v>
          </cell>
        </row>
        <row r="7">
          <cell r="E7" t="str">
            <v>ECOMMERCE</v>
          </cell>
          <cell r="F7">
            <v>869.6400000000001</v>
          </cell>
          <cell r="H7" t="str">
            <v>ECOMMERCE</v>
          </cell>
          <cell r="I7">
            <v>869.6400000000001</v>
          </cell>
          <cell r="K7" t="str">
            <v>Rótulos de Linha</v>
          </cell>
          <cell r="L7" t="str">
            <v>ACUMULADO</v>
          </cell>
          <cell r="M7" t="str">
            <v>Total Geral</v>
          </cell>
        </row>
        <row r="8">
          <cell r="E8" t="str">
            <v>INDAIATUBA</v>
          </cell>
          <cell r="F8">
            <v>62260.590000000026</v>
          </cell>
          <cell r="H8" t="str">
            <v>INDAIATUBA</v>
          </cell>
          <cell r="I8">
            <v>62260.590000000026</v>
          </cell>
          <cell r="K8" t="str">
            <v>CENTRO</v>
          </cell>
          <cell r="L8">
            <v>5</v>
          </cell>
          <cell r="M8">
            <v>5</v>
          </cell>
        </row>
        <row r="9">
          <cell r="E9" t="str">
            <v>INTERLAGOS</v>
          </cell>
          <cell r="F9">
            <v>203747.14999999964</v>
          </cell>
          <cell r="H9" t="str">
            <v>INTERLAGOS</v>
          </cell>
          <cell r="I9">
            <v>203747.14999999964</v>
          </cell>
          <cell r="K9" t="str">
            <v>INDAIATUBA</v>
          </cell>
          <cell r="L9">
            <v>4</v>
          </cell>
          <cell r="M9">
            <v>4</v>
          </cell>
        </row>
        <row r="10">
          <cell r="E10" t="str">
            <v>JUNDIAI</v>
          </cell>
          <cell r="F10">
            <v>71931.839999999822</v>
          </cell>
          <cell r="H10" t="str">
            <v>JUNDIAI</v>
          </cell>
          <cell r="I10">
            <v>71931.839999999822</v>
          </cell>
          <cell r="K10" t="str">
            <v>INTERLAGOS</v>
          </cell>
          <cell r="L10">
            <v>14</v>
          </cell>
          <cell r="M10">
            <v>14</v>
          </cell>
        </row>
        <row r="11">
          <cell r="E11" t="str">
            <v>KEY ABC</v>
          </cell>
          <cell r="F11">
            <v>194941.35</v>
          </cell>
          <cell r="H11" t="str">
            <v>KEY ABC</v>
          </cell>
          <cell r="I11">
            <v>194941.35</v>
          </cell>
          <cell r="K11" t="str">
            <v>JUNDIAI</v>
          </cell>
          <cell r="L11">
            <v>3</v>
          </cell>
          <cell r="M11">
            <v>3</v>
          </cell>
        </row>
        <row r="12">
          <cell r="E12" t="str">
            <v>KEY CASA</v>
          </cell>
          <cell r="F12">
            <v>350628.99999999953</v>
          </cell>
          <cell r="H12" t="str">
            <v>KEY CASA</v>
          </cell>
          <cell r="I12">
            <v>350628.99999999953</v>
          </cell>
          <cell r="K12" t="str">
            <v>LESTE MOOCA</v>
          </cell>
          <cell r="L12">
            <v>12</v>
          </cell>
          <cell r="M12">
            <v>12</v>
          </cell>
        </row>
        <row r="13">
          <cell r="E13" t="str">
            <v>KEY INTERIOR</v>
          </cell>
          <cell r="F13">
            <v>560129.58000000042</v>
          </cell>
          <cell r="H13" t="str">
            <v>KEY INTERIOR</v>
          </cell>
          <cell r="I13">
            <v>560129.58000000042</v>
          </cell>
          <cell r="K13" t="str">
            <v>LESTE PENHA</v>
          </cell>
          <cell r="L13">
            <v>9</v>
          </cell>
          <cell r="M13">
            <v>9</v>
          </cell>
        </row>
        <row r="14">
          <cell r="E14" t="str">
            <v>KEY SJC</v>
          </cell>
          <cell r="F14">
            <v>45062.200000000004</v>
          </cell>
          <cell r="H14" t="str">
            <v>KEY SJC</v>
          </cell>
          <cell r="I14">
            <v>45062.200000000004</v>
          </cell>
          <cell r="K14" t="str">
            <v>LESTE TATUAPE</v>
          </cell>
          <cell r="L14">
            <v>3</v>
          </cell>
          <cell r="M14">
            <v>3</v>
          </cell>
        </row>
        <row r="15">
          <cell r="E15" t="str">
            <v>KEY SP</v>
          </cell>
          <cell r="F15">
            <v>288574.25999999995</v>
          </cell>
          <cell r="H15" t="str">
            <v>KEY SP</v>
          </cell>
          <cell r="I15">
            <v>288574.25999999995</v>
          </cell>
          <cell r="K15" t="str">
            <v>OSASCO</v>
          </cell>
          <cell r="L15">
            <v>21</v>
          </cell>
          <cell r="M15">
            <v>21</v>
          </cell>
        </row>
        <row r="16">
          <cell r="E16" t="str">
            <v>KEY ZL</v>
          </cell>
          <cell r="F16">
            <v>334703.23000000004</v>
          </cell>
          <cell r="H16" t="str">
            <v>KEY ZL</v>
          </cell>
          <cell r="I16">
            <v>334703.23000000004</v>
          </cell>
          <cell r="K16" t="str">
            <v>PIRITUBA</v>
          </cell>
          <cell r="L16">
            <v>6</v>
          </cell>
          <cell r="M16">
            <v>6</v>
          </cell>
        </row>
        <row r="17">
          <cell r="E17" t="str">
            <v>LESTE MOOCA</v>
          </cell>
          <cell r="F17">
            <v>148229.4349999995</v>
          </cell>
          <cell r="H17" t="str">
            <v>LESTE MOOCA</v>
          </cell>
          <cell r="I17">
            <v>148229.4349999995</v>
          </cell>
          <cell r="K17" t="str">
            <v>SANTO ANDRE</v>
          </cell>
          <cell r="L17">
            <v>7</v>
          </cell>
          <cell r="M17">
            <v>7</v>
          </cell>
        </row>
        <row r="18">
          <cell r="E18" t="str">
            <v>LESTE PENHA</v>
          </cell>
          <cell r="F18">
            <v>130217.75999999982</v>
          </cell>
          <cell r="H18" t="str">
            <v>LESTE PENHA</v>
          </cell>
          <cell r="I18">
            <v>130217.75999999982</v>
          </cell>
          <cell r="K18" t="str">
            <v>SBC</v>
          </cell>
          <cell r="L18">
            <v>9</v>
          </cell>
          <cell r="M18">
            <v>9</v>
          </cell>
        </row>
        <row r="19">
          <cell r="E19" t="str">
            <v>LESTE TATUAPE</v>
          </cell>
          <cell r="F19">
            <v>122031.32999999971</v>
          </cell>
          <cell r="H19" t="str">
            <v>LESTE TATUAPE</v>
          </cell>
          <cell r="I19">
            <v>122031.32999999971</v>
          </cell>
          <cell r="K19" t="str">
            <v>SJC</v>
          </cell>
          <cell r="L19">
            <v>3</v>
          </cell>
          <cell r="M19">
            <v>3</v>
          </cell>
        </row>
        <row r="20">
          <cell r="E20" t="str">
            <v>MOGI</v>
          </cell>
          <cell r="F20">
            <v>45154.940000000046</v>
          </cell>
          <cell r="H20" t="str">
            <v>MOGI</v>
          </cell>
          <cell r="I20">
            <v>45154.940000000046</v>
          </cell>
          <cell r="K20" t="str">
            <v>SJC/VALE</v>
          </cell>
          <cell r="L20">
            <v>3</v>
          </cell>
          <cell r="M20">
            <v>3</v>
          </cell>
        </row>
        <row r="21">
          <cell r="E21" t="str">
            <v>NORTE</v>
          </cell>
          <cell r="F21">
            <v>211937.01999999859</v>
          </cell>
          <cell r="H21" t="str">
            <v>NORTE</v>
          </cell>
          <cell r="I21">
            <v>211937.01999999859</v>
          </cell>
          <cell r="K21" t="str">
            <v>Total Geral</v>
          </cell>
          <cell r="L21">
            <v>99</v>
          </cell>
          <cell r="M21">
            <v>99</v>
          </cell>
        </row>
        <row r="22">
          <cell r="E22" t="str">
            <v>OSASCO</v>
          </cell>
          <cell r="F22">
            <v>251412.51500000042</v>
          </cell>
          <cell r="H22" t="str">
            <v>OSASCO</v>
          </cell>
          <cell r="I22">
            <v>251412.51500000042</v>
          </cell>
        </row>
        <row r="23">
          <cell r="E23" t="str">
            <v>PIRITUBA</v>
          </cell>
          <cell r="F23">
            <v>107918.3099999995</v>
          </cell>
          <cell r="H23" t="str">
            <v>PIRITUBA</v>
          </cell>
          <cell r="I23">
            <v>107918.3099999995</v>
          </cell>
        </row>
        <row r="24">
          <cell r="E24" t="str">
            <v>SANTO ANDRE</v>
          </cell>
          <cell r="F24">
            <v>135944.54999999996</v>
          </cell>
          <cell r="H24" t="str">
            <v>SANTO ANDRE</v>
          </cell>
          <cell r="I24">
            <v>135944.54999999996</v>
          </cell>
        </row>
        <row r="25">
          <cell r="E25" t="str">
            <v>SBC</v>
          </cell>
          <cell r="F25">
            <v>215409.78999999963</v>
          </cell>
          <cell r="H25" t="str">
            <v>SBC</v>
          </cell>
          <cell r="I25">
            <v>215409.78999999963</v>
          </cell>
        </row>
        <row r="26">
          <cell r="E26" t="str">
            <v>SJC</v>
          </cell>
          <cell r="F26">
            <v>59228.230000000018</v>
          </cell>
          <cell r="H26" t="str">
            <v>SJC</v>
          </cell>
          <cell r="I26">
            <v>59228.230000000018</v>
          </cell>
        </row>
        <row r="27">
          <cell r="E27" t="str">
            <v>SJC/VALE</v>
          </cell>
          <cell r="F27">
            <v>39507.460000000057</v>
          </cell>
          <cell r="H27" t="str">
            <v>SJC/VALE</v>
          </cell>
          <cell r="I27">
            <v>39507.460000000057</v>
          </cell>
        </row>
        <row r="28">
          <cell r="E28" t="str">
            <v>VENDA B2E</v>
          </cell>
          <cell r="F28">
            <v>495.46</v>
          </cell>
          <cell r="H28" t="str">
            <v>VENDA B2E</v>
          </cell>
          <cell r="I28">
            <v>495.46</v>
          </cell>
          <cell r="K28" t="str">
            <v>POSITIVAÇÃO GERAL</v>
          </cell>
        </row>
        <row r="29">
          <cell r="E29" t="str">
            <v>VENDEDOR INTERNO 1</v>
          </cell>
          <cell r="F29">
            <v>58769.760000000009</v>
          </cell>
          <cell r="H29" t="str">
            <v>VENDEDOR INTERNO 1</v>
          </cell>
          <cell r="I29">
            <v>58769.760000000009</v>
          </cell>
          <cell r="K29" t="str">
            <v>DATA</v>
          </cell>
          <cell r="L29" t="str" vm="1">
            <v>All</v>
          </cell>
        </row>
        <row r="30">
          <cell r="E30" t="str">
            <v>Total Geral</v>
          </cell>
          <cell r="F30">
            <v>3960511.3099999744</v>
          </cell>
          <cell r="H30" t="str">
            <v>Total Geral</v>
          </cell>
          <cell r="I30">
            <v>3960511.3099999744</v>
          </cell>
          <cell r="K30" t="str">
            <v>DES_TIPO_OPERACAO</v>
          </cell>
          <cell r="L30" t="str" vm="3">
            <v>(Vários itens)</v>
          </cell>
        </row>
        <row r="32">
          <cell r="K32" t="str">
            <v>Contagem Distinta de COD_CLIENTE</v>
          </cell>
          <cell r="L32" t="str">
            <v>Rótulos de Coluna</v>
          </cell>
          <cell r="P32" t="str">
            <v>Soma de TOTAL</v>
          </cell>
        </row>
        <row r="33">
          <cell r="K33" t="str">
            <v>Rótulos de Linha</v>
          </cell>
          <cell r="L33" t="str">
            <v>ACUMULADO</v>
          </cell>
          <cell r="M33" t="str">
            <v>Total Geral</v>
          </cell>
        </row>
        <row r="34">
          <cell r="K34" t="str">
            <v>VENDEDOR INTERNO 1</v>
          </cell>
          <cell r="L34">
            <v>68</v>
          </cell>
          <cell r="M34">
            <v>68</v>
          </cell>
        </row>
        <row r="35">
          <cell r="K35" t="str">
            <v>Total Geral</v>
          </cell>
          <cell r="L35">
            <v>68</v>
          </cell>
          <cell r="M35">
            <v>68</v>
          </cell>
        </row>
        <row r="39">
          <cell r="A39" t="str">
            <v>CAMPINAS</v>
          </cell>
          <cell r="B39">
            <v>5870</v>
          </cell>
        </row>
        <row r="40">
          <cell r="A40" t="str">
            <v>CENTRO</v>
          </cell>
          <cell r="B40">
            <v>32000</v>
          </cell>
        </row>
        <row r="41">
          <cell r="A41" t="str">
            <v>INDAIATUBA</v>
          </cell>
          <cell r="B41">
            <v>15850</v>
          </cell>
        </row>
        <row r="42">
          <cell r="A42" t="str">
            <v>INTERLAGOS</v>
          </cell>
          <cell r="B42">
            <v>24730</v>
          </cell>
        </row>
        <row r="43">
          <cell r="A43" t="str">
            <v>JUNDIAI</v>
          </cell>
          <cell r="B43">
            <v>5820</v>
          </cell>
        </row>
        <row r="44">
          <cell r="A44" t="str">
            <v>LESTE MOOCA</v>
          </cell>
          <cell r="B44">
            <v>17000</v>
          </cell>
        </row>
        <row r="45">
          <cell r="A45" t="str">
            <v>LESTE PENHA</v>
          </cell>
          <cell r="B45">
            <v>21000</v>
          </cell>
        </row>
        <row r="46">
          <cell r="A46" t="str">
            <v>LESTE TATUAPE</v>
          </cell>
          <cell r="B46">
            <v>20630</v>
          </cell>
        </row>
        <row r="47">
          <cell r="A47" t="str">
            <v>MOGI</v>
          </cell>
          <cell r="B47">
            <v>9790</v>
          </cell>
          <cell r="P47" t="str">
            <v>Soma de TOTAL</v>
          </cell>
        </row>
        <row r="48">
          <cell r="A48" t="str">
            <v>NORTE</v>
          </cell>
          <cell r="B48">
            <v>25000</v>
          </cell>
        </row>
        <row r="49">
          <cell r="A49" t="str">
            <v>OSASCO</v>
          </cell>
          <cell r="B49">
            <v>28040</v>
          </cell>
        </row>
        <row r="50">
          <cell r="A50" t="str">
            <v>PIRITUBA</v>
          </cell>
          <cell r="B50">
            <v>14810</v>
          </cell>
        </row>
        <row r="51">
          <cell r="A51" t="str">
            <v>SANTO ANDRE</v>
          </cell>
          <cell r="B51">
            <v>18000</v>
          </cell>
        </row>
        <row r="52">
          <cell r="A52" t="str">
            <v>SBC</v>
          </cell>
          <cell r="B52">
            <v>25000</v>
          </cell>
        </row>
        <row r="53">
          <cell r="A53" t="str">
            <v>SJC</v>
          </cell>
          <cell r="B53">
            <v>15790</v>
          </cell>
        </row>
        <row r="54">
          <cell r="A54" t="str">
            <v>SJC/VALE</v>
          </cell>
          <cell r="B54">
            <v>10060</v>
          </cell>
        </row>
        <row r="55">
          <cell r="A55" t="str">
            <v>VENDEDOR INTERNO 1</v>
          </cell>
          <cell r="B55">
            <v>11080</v>
          </cell>
        </row>
        <row r="63">
          <cell r="A63" t="str">
            <v>OSASCO</v>
          </cell>
          <cell r="B63">
            <v>35</v>
          </cell>
        </row>
        <row r="64">
          <cell r="A64" t="str">
            <v>NORTE</v>
          </cell>
          <cell r="B64">
            <v>35</v>
          </cell>
        </row>
        <row r="65">
          <cell r="A65" t="str">
            <v>PIRITUBA</v>
          </cell>
          <cell r="B65">
            <v>35</v>
          </cell>
        </row>
        <row r="66">
          <cell r="A66" t="str">
            <v>SBC</v>
          </cell>
          <cell r="B66">
            <v>35</v>
          </cell>
        </row>
        <row r="67">
          <cell r="A67" t="str">
            <v>LESTE TATUAPE</v>
          </cell>
          <cell r="B67">
            <v>35</v>
          </cell>
        </row>
        <row r="68">
          <cell r="A68" t="str">
            <v>CENTRO</v>
          </cell>
          <cell r="B68">
            <v>35</v>
          </cell>
        </row>
        <row r="69">
          <cell r="A69" t="str">
            <v>SANTO ANDRE</v>
          </cell>
          <cell r="B69">
            <v>35</v>
          </cell>
        </row>
        <row r="70">
          <cell r="A70" t="str">
            <v>MOGI</v>
          </cell>
          <cell r="B70">
            <v>35</v>
          </cell>
        </row>
        <row r="71">
          <cell r="A71" t="str">
            <v>LESTE</v>
          </cell>
          <cell r="B71">
            <v>0</v>
          </cell>
        </row>
        <row r="72">
          <cell r="A72" t="str">
            <v>LESTE MOOCA</v>
          </cell>
          <cell r="B72">
            <v>35</v>
          </cell>
        </row>
        <row r="73">
          <cell r="A73" t="str">
            <v>INTERLAGOS</v>
          </cell>
          <cell r="B73">
            <v>35</v>
          </cell>
        </row>
        <row r="74">
          <cell r="A74" t="str">
            <v>JUNDIAI</v>
          </cell>
          <cell r="B74">
            <v>35</v>
          </cell>
        </row>
        <row r="75">
          <cell r="A75" t="str">
            <v>LESTE PENHA</v>
          </cell>
          <cell r="B75">
            <v>35</v>
          </cell>
        </row>
        <row r="76">
          <cell r="A76" t="str">
            <v>INDAIATUBA</v>
          </cell>
          <cell r="B76">
            <v>35</v>
          </cell>
        </row>
        <row r="77">
          <cell r="A77" t="str">
            <v>SJC</v>
          </cell>
          <cell r="B77">
            <v>35</v>
          </cell>
        </row>
        <row r="78">
          <cell r="A78" t="str">
            <v>SJC/VALE</v>
          </cell>
          <cell r="B78">
            <v>35</v>
          </cell>
        </row>
        <row r="79">
          <cell r="A79" t="str">
            <v>CAMPINAS</v>
          </cell>
          <cell r="B79">
            <v>35</v>
          </cell>
        </row>
        <row r="83">
          <cell r="P83" t="str">
            <v>Contagem Distinta de COD_CLIENTE</v>
          </cell>
        </row>
        <row r="86">
          <cell r="E86" t="str">
            <v>SEMANA 4</v>
          </cell>
          <cell r="F86" t="str">
            <v>SEMANA 5</v>
          </cell>
        </row>
        <row r="135">
          <cell r="E135" t="str">
            <v>META D</v>
          </cell>
          <cell r="F135" t="str">
            <v>ATINGIDO</v>
          </cell>
          <cell r="H135" t="str">
            <v>PRÓXIMA META</v>
          </cell>
          <cell r="I135" t="str">
            <v>FALTA</v>
          </cell>
        </row>
        <row r="136">
          <cell r="E136">
            <v>14</v>
          </cell>
          <cell r="F136">
            <v>0</v>
          </cell>
          <cell r="H136" t="str">
            <v>D</v>
          </cell>
          <cell r="I136">
            <v>14</v>
          </cell>
        </row>
        <row r="137">
          <cell r="E137">
            <v>36</v>
          </cell>
          <cell r="F137">
            <v>0</v>
          </cell>
          <cell r="H137" t="str">
            <v>D</v>
          </cell>
          <cell r="I137">
            <v>36</v>
          </cell>
        </row>
        <row r="138">
          <cell r="E138">
            <v>14</v>
          </cell>
          <cell r="F138">
            <v>0</v>
          </cell>
          <cell r="H138" t="str">
            <v>D</v>
          </cell>
          <cell r="I138">
            <v>14</v>
          </cell>
        </row>
        <row r="139">
          <cell r="E139">
            <v>14</v>
          </cell>
          <cell r="F139">
            <v>0</v>
          </cell>
          <cell r="H139" t="str">
            <v>D</v>
          </cell>
          <cell r="I139">
            <v>14</v>
          </cell>
        </row>
        <row r="140">
          <cell r="E140">
            <v>14</v>
          </cell>
          <cell r="F140">
            <v>0</v>
          </cell>
          <cell r="H140" t="str">
            <v>D</v>
          </cell>
          <cell r="I140">
            <v>14</v>
          </cell>
        </row>
        <row r="141">
          <cell r="E141">
            <v>14</v>
          </cell>
          <cell r="F141">
            <v>0</v>
          </cell>
          <cell r="H141" t="str">
            <v>D</v>
          </cell>
          <cell r="I141">
            <v>14</v>
          </cell>
        </row>
        <row r="142">
          <cell r="E142">
            <v>14</v>
          </cell>
          <cell r="F142">
            <v>0</v>
          </cell>
          <cell r="H142" t="str">
            <v>D</v>
          </cell>
          <cell r="I142">
            <v>14</v>
          </cell>
        </row>
        <row r="143">
          <cell r="E143">
            <v>14</v>
          </cell>
          <cell r="F143">
            <v>0</v>
          </cell>
          <cell r="H143" t="str">
            <v>D</v>
          </cell>
          <cell r="I143">
            <v>14</v>
          </cell>
        </row>
        <row r="144">
          <cell r="E144">
            <v>0</v>
          </cell>
          <cell r="F144">
            <v>0</v>
          </cell>
          <cell r="H144" t="str">
            <v>OBJETIVO ALCANÇADO</v>
          </cell>
          <cell r="I144">
            <v>0</v>
          </cell>
        </row>
        <row r="145">
          <cell r="E145">
            <v>14</v>
          </cell>
          <cell r="F145">
            <v>0</v>
          </cell>
          <cell r="H145" t="str">
            <v>D</v>
          </cell>
          <cell r="I145">
            <v>14</v>
          </cell>
        </row>
        <row r="146">
          <cell r="E146">
            <v>14</v>
          </cell>
          <cell r="F146">
            <v>0</v>
          </cell>
          <cell r="H146" t="str">
            <v>D</v>
          </cell>
          <cell r="I146">
            <v>14</v>
          </cell>
        </row>
        <row r="147">
          <cell r="E147">
            <v>14</v>
          </cell>
          <cell r="F147">
            <v>0</v>
          </cell>
          <cell r="H147" t="str">
            <v>D</v>
          </cell>
          <cell r="I147">
            <v>14</v>
          </cell>
        </row>
        <row r="148">
          <cell r="E148">
            <v>14</v>
          </cell>
          <cell r="F148">
            <v>0</v>
          </cell>
          <cell r="H148" t="str">
            <v>D</v>
          </cell>
          <cell r="I148">
            <v>14</v>
          </cell>
        </row>
        <row r="149">
          <cell r="E149">
            <v>14</v>
          </cell>
          <cell r="F149">
            <v>0</v>
          </cell>
          <cell r="H149" t="str">
            <v>D</v>
          </cell>
          <cell r="I149">
            <v>14</v>
          </cell>
        </row>
        <row r="150">
          <cell r="E150">
            <v>14</v>
          </cell>
          <cell r="F150">
            <v>0</v>
          </cell>
          <cell r="H150" t="str">
            <v>D</v>
          </cell>
          <cell r="I150">
            <v>14</v>
          </cell>
        </row>
        <row r="151">
          <cell r="E151">
            <v>14</v>
          </cell>
          <cell r="F151">
            <v>0</v>
          </cell>
          <cell r="H151" t="str">
            <v>D</v>
          </cell>
          <cell r="I151">
            <v>14</v>
          </cell>
        </row>
        <row r="152">
          <cell r="E152">
            <v>14</v>
          </cell>
          <cell r="F152">
            <v>0</v>
          </cell>
          <cell r="H152" t="str">
            <v>D</v>
          </cell>
          <cell r="I152">
            <v>14</v>
          </cell>
        </row>
        <row r="153">
          <cell r="E153">
            <v>14</v>
          </cell>
          <cell r="F153">
            <v>0</v>
          </cell>
          <cell r="H153" t="str">
            <v>D</v>
          </cell>
          <cell r="I153">
            <v>14</v>
          </cell>
        </row>
        <row r="154">
          <cell r="E154">
            <v>260</v>
          </cell>
          <cell r="F154">
            <v>0</v>
          </cell>
          <cell r="I154">
            <v>260</v>
          </cell>
        </row>
        <row r="158">
          <cell r="E158" t="str">
            <v>META D</v>
          </cell>
          <cell r="F158" t="str">
            <v>ATINGIDO</v>
          </cell>
          <cell r="H158" t="str">
            <v>PRÓXIMA META</v>
          </cell>
          <cell r="I158" t="str">
            <v>FALTA</v>
          </cell>
        </row>
        <row r="159">
          <cell r="E159">
            <v>39600</v>
          </cell>
          <cell r="F159">
            <v>59228.230000000018</v>
          </cell>
          <cell r="H159" t="str">
            <v>C</v>
          </cell>
          <cell r="I159">
            <v>2371.769999999975</v>
          </cell>
        </row>
        <row r="160">
          <cell r="E160">
            <v>35550</v>
          </cell>
          <cell r="F160">
            <v>58769.760000000009</v>
          </cell>
          <cell r="H160" t="str">
            <v>B</v>
          </cell>
          <cell r="I160">
            <v>8380.2399999999907</v>
          </cell>
        </row>
        <row r="161">
          <cell r="E161">
            <v>155250</v>
          </cell>
          <cell r="F161">
            <v>272619.34999999963</v>
          </cell>
          <cell r="H161" t="str">
            <v>B</v>
          </cell>
          <cell r="I161">
            <v>20630.650000000373</v>
          </cell>
        </row>
        <row r="162">
          <cell r="E162">
            <v>149175</v>
          </cell>
          <cell r="F162">
            <v>251412.51500000042</v>
          </cell>
          <cell r="H162" t="str">
            <v>B</v>
          </cell>
          <cell r="I162">
            <v>30362.484999999579</v>
          </cell>
        </row>
        <row r="163">
          <cell r="E163">
            <v>126450</v>
          </cell>
          <cell r="F163">
            <v>203747.14999999964</v>
          </cell>
          <cell r="H163" t="str">
            <v>B</v>
          </cell>
          <cell r="I163">
            <v>35102.850000000355</v>
          </cell>
        </row>
        <row r="164">
          <cell r="E164">
            <v>92700</v>
          </cell>
          <cell r="F164">
            <v>148229.4349999995</v>
          </cell>
          <cell r="H164" t="str">
            <v>B</v>
          </cell>
          <cell r="I164">
            <v>26870.565000000497</v>
          </cell>
        </row>
        <row r="165">
          <cell r="E165">
            <v>78750</v>
          </cell>
          <cell r="F165">
            <v>135944.54999999996</v>
          </cell>
          <cell r="H165" t="str">
            <v>B</v>
          </cell>
          <cell r="I165">
            <v>12805.450000000041</v>
          </cell>
        </row>
        <row r="166">
          <cell r="E166">
            <v>122400</v>
          </cell>
          <cell r="F166">
            <v>211937.01999999859</v>
          </cell>
          <cell r="H166" t="str">
            <v>B</v>
          </cell>
          <cell r="I166">
            <v>19262.980000001407</v>
          </cell>
        </row>
        <row r="167">
          <cell r="E167">
            <v>0</v>
          </cell>
          <cell r="F167">
            <v>0</v>
          </cell>
          <cell r="H167" t="str">
            <v>OBJETIVO ALCANÇADO</v>
          </cell>
          <cell r="I167">
            <v>0</v>
          </cell>
        </row>
        <row r="168">
          <cell r="E168">
            <v>26100</v>
          </cell>
          <cell r="F168">
            <v>39507.460000000057</v>
          </cell>
          <cell r="H168" t="str">
            <v>C</v>
          </cell>
          <cell r="I168">
            <v>1092.5399999999427</v>
          </cell>
        </row>
        <row r="169">
          <cell r="E169">
            <v>43200</v>
          </cell>
          <cell r="F169">
            <v>62260.590000000026</v>
          </cell>
          <cell r="H169" t="str">
            <v>C</v>
          </cell>
          <cell r="I169">
            <v>4939.4099999999744</v>
          </cell>
        </row>
        <row r="170">
          <cell r="E170">
            <v>31725</v>
          </cell>
          <cell r="F170">
            <v>48786.559999999998</v>
          </cell>
          <cell r="H170" t="str">
            <v>C</v>
          </cell>
          <cell r="I170">
            <v>563.44000000000233</v>
          </cell>
        </row>
        <row r="171">
          <cell r="E171">
            <v>37800</v>
          </cell>
          <cell r="F171">
            <v>71931.839999999822</v>
          </cell>
          <cell r="H171" t="str">
            <v>A</v>
          </cell>
          <cell r="I171">
            <v>12068.160000000178</v>
          </cell>
        </row>
        <row r="172">
          <cell r="E172">
            <v>63900</v>
          </cell>
          <cell r="F172">
            <v>107918.3099999995</v>
          </cell>
          <cell r="H172" t="str">
            <v>B</v>
          </cell>
          <cell r="I172">
            <v>12781.690000000497</v>
          </cell>
        </row>
        <row r="173">
          <cell r="E173">
            <v>76050</v>
          </cell>
          <cell r="F173">
            <v>130217.75999999982</v>
          </cell>
          <cell r="H173" t="str">
            <v>B</v>
          </cell>
          <cell r="I173">
            <v>13432.24000000018</v>
          </cell>
        </row>
        <row r="174">
          <cell r="E174">
            <v>121500</v>
          </cell>
          <cell r="F174">
            <v>215409.78999999963</v>
          </cell>
          <cell r="H174" t="str">
            <v>B</v>
          </cell>
          <cell r="I174">
            <v>14090.21000000037</v>
          </cell>
        </row>
        <row r="175">
          <cell r="E175">
            <v>42975</v>
          </cell>
          <cell r="F175">
            <v>45154.940000000046</v>
          </cell>
          <cell r="H175" t="str">
            <v>C</v>
          </cell>
          <cell r="I175">
            <v>21695.059999999954</v>
          </cell>
        </row>
        <row r="176">
          <cell r="E176">
            <v>97875</v>
          </cell>
          <cell r="F176">
            <v>122031.32999999971</v>
          </cell>
          <cell r="H176" t="str">
            <v>C</v>
          </cell>
          <cell r="I176">
            <v>30218.670000000289</v>
          </cell>
        </row>
        <row r="177">
          <cell r="E177">
            <v>1341000</v>
          </cell>
          <cell r="F177">
            <v>2185106.5899999961</v>
          </cell>
          <cell r="I177">
            <v>266668.41000000358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3157CCA-AE81-44E6-8AC3-6B69E02394E0}" name="Tabela3" displayName="Tabela3" ref="B39:E44" totalsRowShown="0" headerRowDxfId="110" dataDxfId="109">
  <autoFilter ref="B39:E44" xr:uid="{A3157CCA-AE81-44E6-8AC3-6B69E02394E0}">
    <filterColumn colId="0" hiddenButton="1"/>
    <filterColumn colId="1" hiddenButton="1"/>
    <filterColumn colId="2" hiddenButton="1"/>
    <filterColumn colId="3" hiddenButton="1"/>
  </autoFilter>
  <tableColumns count="4">
    <tableColumn id="1" xr3:uid="{D5CFA35F-1C13-42CF-B05C-430BF14AC2B0}" name="SEMANAL" dataDxfId="108"/>
    <tableColumn id="2" xr3:uid="{06063E15-5C9E-4303-B5F6-B9D0B178DB82}" name="META" dataDxfId="107" dataCellStyle="Moeda">
      <calculatedColumnFormula array="1">_xlfn.XLOOKUP(Tabela3[[#This Row],[SEMANAL]],[1]!Tabela7[[#All],[Coluna1]],[1]!Tabela7[[#All],[Coluna2]])</calculatedColumnFormula>
    </tableColumn>
    <tableColumn id="3" xr3:uid="{425F53BB-8CBB-40E8-9773-1C7C39906AD7}" name="REALIZADO" dataDxfId="106" dataCellStyle="Moeda">
      <calculatedColumnFormula>IFERROR(GETPIVOTDATA("[Measures].[Soma de TOTAL 3]",'[1]BASE PYTHON'!$P$47,"[Intervalo 2].[SEMANA]","[Intervalo 2].[SEMANA].&amp;[2]"),0)</calculatedColumnFormula>
    </tableColumn>
    <tableColumn id="4" xr3:uid="{A18F5082-185F-44C4-B163-8A3CBDDA6732}" name="FALTA" dataDxfId="105">
      <calculatedColumnFormula>C40-D40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A69D712-8843-4CBF-AD2F-C801E56B1CFC}" name="Tabela4" displayName="Tabela4" ref="H4:I7" headerRowCount="0" totalsRowShown="0" headerRowDxfId="104" dataDxfId="103">
  <tableColumns count="2">
    <tableColumn id="1" xr3:uid="{C661D03F-A79A-4D24-86FD-3574B6E5537D}" name="Coluna1" dataDxfId="102"/>
    <tableColumn id="2" xr3:uid="{7EF7A574-C8A3-4CB7-9C98-86948FE130EB}" name="Coluna2" headerRowDxfId="101" dataDxfId="10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75040F9-F863-450B-ACF9-7CEC08A64AB4}" name="Tabela6" displayName="Tabela6" ref="H30:K35" totalsRowShown="0" headerRowDxfId="99" dataDxfId="98">
  <autoFilter ref="H30:K35" xr:uid="{A75040F9-F863-450B-ACF9-7CEC08A64AB4}">
    <filterColumn colId="0" hiddenButton="1"/>
    <filterColumn colId="1" hiddenButton="1"/>
    <filterColumn colId="2" hiddenButton="1"/>
    <filterColumn colId="3" hiddenButton="1"/>
  </autoFilter>
  <tableColumns count="4">
    <tableColumn id="1" xr3:uid="{14E3BD3B-54B0-47BF-931C-064E12741C86}" name="SEMANAL" dataDxfId="97"/>
    <tableColumn id="2" xr3:uid="{67CE9FE2-AA11-4BD4-9F34-EDC9123EA89F}" name="META" dataDxfId="96" dataCellStyle="Moeda">
      <calculatedColumnFormula array="1">_xlfn.XLOOKUP(Tabela6[[#This Row],[SEMANAL]],[1]!Tabela9[[#All],[Coluna1]],[1]!Tabela9[[#All],[Coluna2]])</calculatedColumnFormula>
    </tableColumn>
    <tableColumn id="3" xr3:uid="{14D3AA11-9DFC-420F-8F5A-5002E14D4AAA}" name="REALIZADO" dataDxfId="95">
      <calculatedColumnFormula>IFERROR(GETPIVOTDATA("[Measures].[Soma de TOTAL 3]",'[1]BASE PYTHON'!$P$4,"[Intervalo 2].[SEMANA]","[Intervalo 2].[SEMANA].&amp;[2]"),0)</calculatedColumnFormula>
    </tableColumn>
    <tableColumn id="4" xr3:uid="{16DC2DF3-76D8-4A80-B29C-E276BB17D8FF}" name="FALTA" dataDxfId="94">
      <calculatedColumnFormula>I31-J31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D5C0B8F-3138-4FD4-9A83-375E8D4AC464}" name="Tabela7" displayName="Tabela7" ref="N4:O7" headerRowCount="0" totalsRowShown="0" headerRowDxfId="93" dataDxfId="92">
  <tableColumns count="2">
    <tableColumn id="1" xr3:uid="{0139F26F-4C9F-4E96-9F64-C5C5B271DCA9}" name="Coluna1" dataDxfId="91"/>
    <tableColumn id="2" xr3:uid="{1DA3E17F-38EB-4042-B2F0-3DFB7629A3F5}" name="Coluna2" headerRowDxfId="90" dataDxfId="89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7A5A608-D233-46F9-8E75-B1963DE71BC6}" name="Tabela8" displayName="Tabela8" ref="M10:Q17" totalsRowShown="0" headerRowDxfId="88" dataDxfId="87" dataCellStyle="Moeda">
  <autoFilter ref="M10:Q17" xr:uid="{87A5A608-D233-46F9-8E75-B1963DE71BC6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E89D966-6315-4DB4-9927-EEB09B51F44E}" name="REFERENCIA" dataDxfId="86"/>
    <tableColumn id="2" xr3:uid="{0B55D821-52F8-4CE2-9F16-C5BCDBCE53AC}" name="VENDEDOR" dataDxfId="85"/>
    <tableColumn id="3" xr3:uid="{B5D24BF0-392E-420D-BB1D-3FED1D3383B5}" name="COMPROMISSO" dataDxfId="84" dataCellStyle="Moeda">
      <calculatedColumnFormula array="1">IFERROR(_xlfn.XLOOKUP(M11,[1]!Tabela3[[#All],[VENDEDOR]],INDEX([1]!Tabela3[#All],0,MATCH($O$9,[1]!Tabela3[#Headers],0))),0)</calculatedColumnFormula>
    </tableColumn>
    <tableColumn id="4" xr3:uid="{92C88D8B-4724-4B0F-86B9-CEB8CCE813E5}" name="ATINGIDO" dataDxfId="83" dataCellStyle="Moeda">
      <calculatedColumnFormula>IFERROR(GETPIVOTDATA("[Measures].[Soma de TOTAL 3]",'[1]BASE PYTHON'!$P$32,"[Intervalo 2].[REGIAO]","[Intervalo 2].[REGIAO].&amp;["&amp;N11&amp;"]","[Intervalo 2].[SEMANA]","[Intervalo 2].[SEMANA].&amp;["&amp;RIGHT($O$9,1)&amp;"]"),0)</calculatedColumnFormula>
    </tableColumn>
    <tableColumn id="5" xr3:uid="{CA195FA3-3822-41FA-8A93-2D86914C048E}" name="FALTA" dataDxfId="82" dataCellStyle="Moeda">
      <calculatedColumnFormula>Tabela8[[#This Row],[COMPROMISSO]]-Tabela8[[#This Row],[ATINGIDO]]</calculatedColumnFormula>
    </tableColumn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D6BA5FD-BBE8-4A7A-9B76-3F3F6D1F10E9}" name="Tabela9" displayName="Tabela9" ref="N20:Q25" totalsRowShown="0" headerRowDxfId="81" dataDxfId="80">
  <autoFilter ref="N20:Q25" xr:uid="{3D6BA5FD-BBE8-4A7A-9B76-3F3F6D1F10E9}">
    <filterColumn colId="0" hiddenButton="1"/>
    <filterColumn colId="1" hiddenButton="1"/>
    <filterColumn colId="2" hiddenButton="1"/>
    <filterColumn colId="3" hiddenButton="1"/>
  </autoFilter>
  <tableColumns count="4">
    <tableColumn id="1" xr3:uid="{985251B0-0E07-4E60-9774-18D0D763437D}" name="SEMANAL" dataDxfId="79"/>
    <tableColumn id="2" xr3:uid="{7B11DBA8-6FBD-4B67-BDA9-6624DF753EFD}" name="META" dataDxfId="78" dataCellStyle="Moeda">
      <calculatedColumnFormula array="1">_xlfn.XLOOKUP(Tabela9[[#This Row],[SEMANAL]],[1]!Tabela10[[#All],[Coluna1]],[1]!Tabela10[[#All],[Coluna2]])</calculatedColumnFormula>
    </tableColumn>
    <tableColumn id="3" xr3:uid="{0B727490-D536-4FC5-B857-CD92C459F1FB}" name="REALIZADO" dataDxfId="77"/>
    <tableColumn id="4" xr3:uid="{84544AF4-5466-4CAC-A349-7B2C804BDA05}" name="FALTA" dataDxfId="76">
      <calculatedColumnFormula>O21-P21</calculatedColumnFormula>
    </tableColumn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AAFC688-3718-400A-9213-0DC213191E8B}" name="Tabela10" displayName="Tabela10" ref="T4:U7" headerRowCount="0" totalsRowShown="0" headerRowDxfId="75" dataDxfId="74">
  <tableColumns count="2">
    <tableColumn id="1" xr3:uid="{870B59CA-1EA4-4CA9-BDCF-4A342A313131}" name="Coluna1" dataDxfId="73"/>
    <tableColumn id="2" xr3:uid="{6FE31DF2-1DB4-4D4B-8783-48EA07B43B53}" name="Coluna2" dataDxfId="72"/>
  </tableColumns>
  <tableStyleInfo name="TableStyleMedium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15FC431-91F7-4B09-9000-61CB68A149E7}" name="Tabela12" displayName="Tabela12" ref="T29:W34" totalsRowShown="0" headerRowDxfId="71" dataDxfId="70">
  <autoFilter ref="T29:W34" xr:uid="{A15FC431-91F7-4B09-9000-61CB68A149E7}">
    <filterColumn colId="0" hiddenButton="1"/>
    <filterColumn colId="1" hiddenButton="1"/>
    <filterColumn colId="2" hiddenButton="1"/>
    <filterColumn colId="3" hiddenButton="1"/>
  </autoFilter>
  <tableColumns count="4">
    <tableColumn id="1" xr3:uid="{65A441BB-28F2-4C4D-8CD8-F9F9788A0656}" name="SEMANAL" dataDxfId="69"/>
    <tableColumn id="2" xr3:uid="{B849FCBC-ED0F-47D9-B4E7-149FFE3500D9}" name="META" dataDxfId="68" dataCellStyle="Moeda">
      <calculatedColumnFormula array="1">_xlfn.XLOOKUP(Tabela12[[#This Row],[SEMANAL]],[1]!Tabela11[[#All],[Coluna1]],[1]!Tabela11[[#All],[Coluna2]])</calculatedColumnFormula>
    </tableColumn>
    <tableColumn id="3" xr3:uid="{A81AB4FC-EF49-4A93-8229-1B0CBFC88744}" name="REALIZADO" dataDxfId="67">
      <calculatedColumnFormula>IFERROR(GETPIVOTDATA("[Measures].[Contagem Distinta de COD_CLIENTE 2]",'[1]BASE PYTHON'!$P$83,"[Intervalo 3].[SEMANAL BRIOCHE]","[Intervalo 3].[SEMANAL BRIOCHE].&amp;[1]"),0)</calculatedColumnFormula>
    </tableColumn>
    <tableColumn id="4" xr3:uid="{13865A0A-FFF3-4F90-A201-753948DC8E26}" name="FALTA" dataDxfId="66">
      <calculatedColumnFormula>U30-V30</calculatedColumnFormula>
    </tableColumn>
  </tableColumns>
  <tableStyleInfo name="TableStyleMedium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4935CD-63EE-45D7-AA45-CFFFE79EAC7D}" name="Tabela2" displayName="Tabela2" ref="S9:W26" totalsRowShown="0" headerRowDxfId="65" dataDxfId="64" tableBorderDxfId="63">
  <autoFilter ref="S9:W26" xr:uid="{874935CD-63EE-45D7-AA45-CFFFE79EAC7D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96702934-C966-496F-B51E-ADD7BF9BB7D8}" name="REFERENCIA" dataDxfId="62"/>
    <tableColumn id="2" xr3:uid="{E2D85F5C-4525-4FA4-B813-A1322F5C254D}" name="VENDEDOR" dataDxfId="61"/>
    <tableColumn id="3" xr3:uid="{53C55BB3-DDD4-47EF-87D5-552E4D02B5BA}" name="META A" dataDxfId="60"/>
    <tableColumn id="4" xr3:uid="{018C7BF7-4C79-4668-95B2-CBF2E10B657D}" name="ATINGIDO" dataDxfId="59">
      <calculatedColumnFormula>IFERROR(VLOOKUP(Tabela2[[#This Row],[REFERENCIA]],'[1]BASE PYTHON'!$K:$N,'[1]BASE PYTHON'!L$1,0),0)</calculatedColumnFormula>
    </tableColumn>
    <tableColumn id="5" xr3:uid="{37E12533-09AB-4B65-AEC8-6BB07B5CC2B1}" name="FALTA" dataDxfId="58">
      <calculatedColumnFormula>U10-V10</calculatedColumnFormula>
    </tableColumn>
  </tableColumns>
  <tableStyleInfo name="TableStyleMedium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3745920-1197-4A81-B558-958DBAB19EA3}" name="Tabela5" displayName="Tabela5" ref="G9:K27" totalsRowShown="0" headerRowDxfId="57" dataDxfId="56" tableBorderDxfId="55">
  <autoFilter ref="G9:K27" xr:uid="{E3745920-1197-4A81-B558-958DBAB19EA3}"/>
  <tableColumns count="5">
    <tableColumn id="1" xr3:uid="{D324C7DB-F877-4A7E-BC26-EF8905C85433}" name="REFERENCIA" dataDxfId="54"/>
    <tableColumn id="2" xr3:uid="{A71A6478-3B31-4F54-A10C-E6EC00E95E0B}" name="VENDEDOR" dataDxfId="53"/>
    <tableColumn id="3" xr3:uid="{9F5EDCDD-D442-4FBE-9C74-26084F24EFCB}" name="COMPROMISSO" dataDxfId="52" dataCellStyle="Moeda">
      <calculatedColumnFormula>_xlfn.XLOOKUP(Tabela5[[#This Row],[REFERENCIA]],'[1]BASE PYTHON'!$A$39:$A$55,'[1]BASE PYTHON'!$B$39:$B$55,0)</calculatedColumnFormula>
    </tableColumn>
    <tableColumn id="4" xr3:uid="{2E4F9793-0E4B-42F0-B595-748F8481D0D0}" name="ATINGIDO" dataDxfId="51" dataCellStyle="Moeda">
      <calculatedColumnFormula>_xlfn.XLOOKUP(Tabela5[[#This Row],[REFERENCIA]],'[1]BASE PYTHON'!$H:$H,'[1]BASE PYTHON'!$I:$I,0)</calculatedColumnFormula>
    </tableColumn>
    <tableColumn id="5" xr3:uid="{3CEFD09C-EF55-4119-A139-BD17682D2B73}" name="FALTA" dataDxfId="50">
      <calculatedColumnFormula>Tabela5[[#This Row],[COMPROMISSO]]-Tabela5[[#This Row],[ATINGIDO]]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A7104A0-4D5E-4CED-9364-119005653576}" name="Tabela13" displayName="Tabela13" ref="A9:E36" headerRowDxfId="49" dataDxfId="48" totalsRowDxfId="46" tableBorderDxfId="47">
  <autoFilter ref="A9:E36" xr:uid="{3A7104A0-4D5E-4CED-9364-119005653576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50EE0FE5-ADD7-4A3A-9DF8-D52FFFCF08DA}" name="REFERENCIA" totalsRowLabel="Total" dataDxfId="45" totalsRowDxfId="44"/>
    <tableColumn id="2" xr3:uid="{4F0BAF4D-D0FC-4B7C-8FF4-8DDD6505FDA1}" name="VENDEDOR" dataDxfId="43" totalsRowDxfId="42"/>
    <tableColumn id="3" xr3:uid="{CCB341E8-8BC2-4209-AEA0-D6F26BFCB356}" name="META A" dataDxfId="41" totalsRowDxfId="40" dataCellStyle="Moeda">
      <calculatedColumnFormula>_xlfn.XLOOKUP(Tabela13[[#This Row],[REFERENCIA]],[1]!Tabela2[VENDEDOR],[1]!Tabela2[META A],0)</calculatedColumnFormula>
    </tableColumn>
    <tableColumn id="4" xr3:uid="{9AA985E6-33FD-40FD-9473-5AF6B4D03030}" name="ATINGIDO" dataDxfId="39" totalsRowDxfId="38" dataCellStyle="Moeda">
      <calculatedColumnFormula>_xlfn.XLOOKUP(Tabela13[[#This Row],[REFERENCIA]],'[1]BASE PYTHON'!$E:$E,'[1]BASE PYTHON'!$F:$F,0)</calculatedColumnFormula>
    </tableColumn>
    <tableColumn id="5" xr3:uid="{7B8A46E1-DE6F-44C0-A6C8-83887563A4C0}" name="FALTA" totalsRowFunction="sum" dataDxfId="37" totalsRowDxfId="36">
      <calculatedColumnFormula>Tabela13[[#This Row],[META A]]-Tabela13[[#This Row],[ATINGIDO]]</calculatedColumnFormula>
    </tableColumn>
  </tableColumns>
  <tableStyleInfo name="TableStyleMedium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5BE7188-8888-41FA-ABCF-B57822EB82A5}" name="Tabela817" displayName="Tabela817" ref="AI2:AQ21" totalsRowCount="1" dataDxfId="35" dataCellStyle="Moeda">
  <autoFilter ref="AI2:AQ20" xr:uid="{55BE7188-8888-41FA-ABCF-B57822EB82A5}"/>
  <tableColumns count="9">
    <tableColumn id="1" xr3:uid="{9DC09787-B029-495D-ADCF-A6C94B8ED537}" name="VENDEDOR" totalsRowLabel="Total"/>
    <tableColumn id="2" xr3:uid="{94315AF9-FE56-4F51-82DE-7907A99BB7DD}" name="META A" totalsRowFunction="sum" dataDxfId="34" totalsRowDxfId="33" dataCellStyle="Moeda">
      <calculatedColumnFormula>_xlfn.XLOOKUP(Tabela817[[#This Row],[VENDEDOR]],[1]!Tabela8[VENDEDOR],[1]!Tabela8[META A])</calculatedColumnFormula>
    </tableColumn>
    <tableColumn id="3" xr3:uid="{715CA431-D204-4F64-9916-9AE4C60EC6B9}" name="META B" totalsRowFunction="sum" dataDxfId="32" totalsRowDxfId="31" dataCellStyle="Moeda">
      <calculatedColumnFormula>_xlfn.XLOOKUP(Tabela817[[#This Row],[VENDEDOR]],[1]!Tabela8[VENDEDOR],[1]!Tabela8[META B])</calculatedColumnFormula>
    </tableColumn>
    <tableColumn id="4" xr3:uid="{499A8278-63E6-4339-A908-FB77667C4F8A}" name="META C" totalsRowFunction="sum" dataDxfId="30" totalsRowDxfId="29" dataCellStyle="Moeda">
      <calculatedColumnFormula>_xlfn.XLOOKUP(Tabela817[[#This Row],[VENDEDOR]],[1]!Tabela8[VENDEDOR],[1]!Tabela8[META C])</calculatedColumnFormula>
    </tableColumn>
    <tableColumn id="5" xr3:uid="{D02E4F6F-A83C-4A30-A474-49B37289EA09}" name="META D" totalsRowFunction="sum" dataDxfId="28" totalsRowDxfId="27" dataCellStyle="Moeda">
      <calculatedColumnFormula>_xlfn.XLOOKUP(Tabela817[[#This Row],[VENDEDOR]],[1]!Tabela8[VENDEDOR],[1]!Tabela8[META D])</calculatedColumnFormula>
    </tableColumn>
    <tableColumn id="6" xr3:uid="{A6275BB8-634B-41DE-9C0C-38DE46A74438}" name="ATINGIDO" totalsRowFunction="sum" dataDxfId="26" totalsRowDxfId="25" dataCellStyle="Moeda">
      <calculatedColumnFormula>IFERROR(_xlfn.XLOOKUP(AI3,'[1]BASE PYTHON'!$E:$E,'[1]BASE PYTHON'!$F:$F,0),0)</calculatedColumnFormula>
    </tableColumn>
    <tableColumn id="7" xr3:uid="{7C64A4D6-2D58-41F0-866B-9B1CB6514952}" name="PREMIAÇÃO ATINGIDA" dataDxfId="24" totalsRowDxfId="23">
      <calculatedColumnFormula array="1">_xlfn.IFS(AN3&gt;=AJ3,"A",AN3&gt;=AK3,"B",AN3&gt;=AL3,"C",AN3&gt;=AM3,"D",TRUE,"NÃO ATINGIDO")</calculatedColumnFormula>
    </tableColumn>
    <tableColumn id="8" xr3:uid="{A4232C53-895F-4F8E-9C8E-0B0BF2C0ED6F}" name="PRÓXIMA META" dataDxfId="22" totalsRowDxfId="21">
      <calculatedColumnFormula array="1">_xlfn.IFS(AO3="NÃO ATINGIDO","D",AO3="D","C",AO3="C","B",AO3="B","A",AO3="A","OBJETIVO ALCANÇADO")</calculatedColumnFormula>
    </tableColumn>
    <tableColumn id="9" xr3:uid="{48707A36-6A09-40D7-A590-A88562D8F521}" name="FALTA" totalsRowFunction="sum" dataDxfId="20" totalsRowDxfId="19" dataCellStyle="Moeda">
      <calculatedColumnFormula array="1">_xlfn.IFS(AP3="D",MAX(AM3-AN3,0),AP3="C",MAX(AL3-AN3,0),AP3="B",MAX(AK3-AN3,0),AP3="A",MAX(AJ3-AN3,0),AP3="OBJETIVO ALCANÇADO",0)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7A100617-BF77-4A79-B506-53CDBC26C911}" name="Tabela17" displayName="Tabela17" ref="Y2:AG20" totalsRowShown="0" headerRowDxfId="18" dataDxfId="17" tableBorderDxfId="16">
  <autoFilter ref="Y2:AG20" xr:uid="{7A100617-BF77-4A79-B506-53CDBC26C91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E374FEB3-F510-4F3F-9C13-58E25924121E}" name="VENDEDOR" dataDxfId="15"/>
    <tableColumn id="2" xr3:uid="{8DACCDF0-1F48-4D1F-936B-1BD572540814}" name="META A" dataDxfId="14">
      <calculatedColumnFormula>_xlfn.XLOOKUP(Tabela17[[#This Row],[VENDEDOR]],[1]!Tabela4[VENDEDOR],[1]!Tabela4[META A])</calculatedColumnFormula>
    </tableColumn>
    <tableColumn id="3" xr3:uid="{283DD7D7-EAA0-41F2-A03E-A94402C351D8}" name="META B" dataDxfId="13">
      <calculatedColumnFormula>_xlfn.XLOOKUP(Tabela17[[#This Row],[VENDEDOR]],[1]!Tabela4[VENDEDOR],[1]!Tabela4[META B])</calculatedColumnFormula>
    </tableColumn>
    <tableColumn id="4" xr3:uid="{FA7094C0-E343-4D2F-A021-CE4770011F17}" name="META C" dataDxfId="12">
      <calculatedColumnFormula>_xlfn.XLOOKUP(Tabela17[[#This Row],[VENDEDOR]],[1]!Tabela4[VENDEDOR],[1]!Tabela4[META C])</calculatedColumnFormula>
    </tableColumn>
    <tableColumn id="5" xr3:uid="{B6D91B25-84F6-4BBF-AFFE-776A8AB5FD86}" name="META D" dataDxfId="11">
      <calculatedColumnFormula>_xlfn.XLOOKUP(Tabela17[[#This Row],[VENDEDOR]],[1]!Tabela4[VENDEDOR],[1]!Tabela4[META D])</calculatedColumnFormula>
    </tableColumn>
    <tableColumn id="6" xr3:uid="{DD3D2046-BE2C-43C9-8F6C-13D785756968}" name="ATINGIDO" dataDxfId="10">
      <calculatedColumnFormula>IFERROR(_xlfn.XLOOKUP(Y3,'[1]BASE PYTHON'!$K:$K,'[1]BASE PYTHON'!$N:$N,0),0)</calculatedColumnFormula>
    </tableColumn>
    <tableColumn id="7" xr3:uid="{FE9C4B8F-98E5-474D-B959-1D70DA5A76FE}" name="PREMIAÇÃO ATINGIDA" dataDxfId="9">
      <calculatedColumnFormula array="1">_xlfn.IFS(AD3&gt;=Z3,"A",AD3&gt;=AA3,"B",AD3&gt;=AB3,"C",AD3&gt;=AC3,"D",TRUE,"NÃO ATINGIDO")</calculatedColumnFormula>
    </tableColumn>
    <tableColumn id="8" xr3:uid="{9A7A5F0B-ED50-4C50-BA8D-CCEF51A55D3B}" name="PRÓXIMA META" dataDxfId="8">
      <calculatedColumnFormula array="1">_xlfn.IFS(AE3="NÃO ATINGIDO","D",AE3="D","C",AE3="C","B",AE3="B","A",AE3="A","OBJETIVO ALCANÇADO")</calculatedColumnFormula>
    </tableColumn>
    <tableColumn id="9" xr3:uid="{E1C246FF-4D71-4AB4-804E-54960DFC2111}" name="FALTA" dataDxfId="7">
      <calculatedColumnFormula array="1">_xlfn.IFS(AF3="D",MAX(AC3-AD3,0),AF3="C",MAX(AB3-AD3,0),AF3="B",MAX(AA3-AD3,0),AF3="A",MAX(Z3-AD3,0),AF3="OBJETIVO ALCANÇADO",0)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97E85A-DD10-4825-81C1-53CD3989178B}" name="Tabela1" displayName="Tabela1" ref="B4:C7" headerRowCount="0" totalsRowShown="0" headerRowDxfId="6" dataDxfId="5">
  <tableColumns count="2">
    <tableColumn id="1" xr3:uid="{3308613D-E7FC-469E-B078-C5AC910E183B}" name="Coluna1" dataDxfId="4"/>
    <tableColumn id="2" xr3:uid="{C994D666-6174-475E-AE71-1F12062A5225}" name="Coluna2" headerRowDxfId="3" dataDxfId="2" dataCellStyle="Moeda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26F915F-5778-4421-85E8-EBB2074B1C4A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9094ffd-be85-40e2-a8a6-5a0a4ff076e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29905-7DAF-4BE5-BDE6-DF5442C33639}">
  <sheetPr codeName="Planilha1"/>
  <dimension ref="A1:AQ90"/>
  <sheetViews>
    <sheetView showGridLines="0" tabSelected="1" zoomScale="60" zoomScaleNormal="60" workbookViewId="0">
      <selection activeCell="O10" sqref="O10"/>
    </sheetView>
  </sheetViews>
  <sheetFormatPr defaultRowHeight="15" x14ac:dyDescent="0.25"/>
  <cols>
    <col min="1" max="1" width="26.5703125" customWidth="1"/>
    <col min="2" max="2" width="21.140625" bestFit="1" customWidth="1"/>
    <col min="3" max="3" width="22.140625" style="2" customWidth="1"/>
    <col min="4" max="4" width="24.42578125" style="1" bestFit="1" customWidth="1"/>
    <col min="5" max="5" width="19.42578125" bestFit="1" customWidth="1"/>
    <col min="6" max="6" width="9.140625" customWidth="1"/>
    <col min="7" max="7" width="26.5703125" bestFit="1" customWidth="1"/>
    <col min="8" max="8" width="18.28515625" bestFit="1" customWidth="1"/>
    <col min="9" max="9" width="23.85546875" customWidth="1"/>
    <col min="10" max="11" width="17.28515625" bestFit="1" customWidth="1"/>
    <col min="13" max="13" width="19.140625" bestFit="1" customWidth="1"/>
    <col min="14" max="14" width="21.140625" bestFit="1" customWidth="1"/>
    <col min="15" max="15" width="22.7109375" bestFit="1" customWidth="1"/>
    <col min="16" max="16" width="18.42578125" bestFit="1" customWidth="1"/>
    <col min="17" max="17" width="17.28515625" bestFit="1" customWidth="1"/>
    <col min="18" max="18" width="11" customWidth="1"/>
    <col min="19" max="19" width="19.85546875" bestFit="1" customWidth="1"/>
    <col min="20" max="20" width="33.42578125" bestFit="1" customWidth="1"/>
    <col min="21" max="21" width="13.85546875" customWidth="1"/>
    <col min="22" max="22" width="17.28515625" bestFit="1" customWidth="1"/>
    <col min="23" max="23" width="12.140625" customWidth="1"/>
    <col min="25" max="25" width="37.28515625" bestFit="1" customWidth="1"/>
    <col min="26" max="29" width="19.85546875" bestFit="1" customWidth="1"/>
    <col min="30" max="30" width="22.28515625" bestFit="1" customWidth="1"/>
    <col min="31" max="31" width="32" bestFit="1" customWidth="1"/>
    <col min="32" max="32" width="23" bestFit="1" customWidth="1"/>
    <col min="33" max="33" width="18.28515625" bestFit="1" customWidth="1"/>
    <col min="35" max="35" width="39.85546875" bestFit="1" customWidth="1"/>
    <col min="36" max="37" width="19.85546875" bestFit="1" customWidth="1"/>
    <col min="38" max="40" width="19.42578125" bestFit="1" customWidth="1"/>
    <col min="41" max="41" width="35.85546875" bestFit="1" customWidth="1"/>
    <col min="42" max="42" width="26.85546875" bestFit="1" customWidth="1"/>
    <col min="43" max="43" width="19.42578125" bestFit="1" customWidth="1"/>
  </cols>
  <sheetData>
    <row r="1" spans="1:43" ht="21" x14ac:dyDescent="0.35">
      <c r="A1" s="4"/>
      <c r="B1" s="13" t="s">
        <v>34</v>
      </c>
      <c r="C1" s="9"/>
      <c r="D1" s="9"/>
      <c r="E1" s="14"/>
      <c r="F1" s="14"/>
      <c r="G1" s="14"/>
      <c r="H1" s="10" t="s">
        <v>35</v>
      </c>
      <c r="I1" s="14"/>
      <c r="J1" s="14"/>
      <c r="K1" s="14"/>
      <c r="L1" s="14"/>
      <c r="M1" s="14"/>
      <c r="N1" s="11" t="s">
        <v>36</v>
      </c>
      <c r="O1" s="14"/>
      <c r="P1" s="14"/>
      <c r="Q1" s="14"/>
      <c r="R1" s="14"/>
      <c r="S1" s="14"/>
      <c r="T1" s="12" t="s">
        <v>61</v>
      </c>
      <c r="U1" s="14"/>
      <c r="V1" s="4"/>
      <c r="W1" s="4"/>
      <c r="Y1" s="39" t="s">
        <v>53</v>
      </c>
      <c r="Z1" s="23"/>
      <c r="AA1" s="23"/>
      <c r="AB1" s="23"/>
      <c r="AC1" s="23"/>
      <c r="AD1" s="23"/>
      <c r="AE1" s="23"/>
      <c r="AF1" s="23"/>
      <c r="AG1" s="23"/>
      <c r="AI1" s="40" t="s">
        <v>56</v>
      </c>
    </row>
    <row r="2" spans="1:43" x14ac:dyDescent="0.25">
      <c r="A2" s="4"/>
      <c r="B2" s="4"/>
      <c r="D2" s="2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Y2" s="34" t="s">
        <v>5</v>
      </c>
      <c r="Z2" s="35" t="s">
        <v>33</v>
      </c>
      <c r="AA2" s="35" t="s">
        <v>57</v>
      </c>
      <c r="AB2" s="35" t="s">
        <v>58</v>
      </c>
      <c r="AC2" s="35" t="s">
        <v>59</v>
      </c>
      <c r="AD2" s="35" t="s">
        <v>1</v>
      </c>
      <c r="AE2" s="35" t="s">
        <v>54</v>
      </c>
      <c r="AF2" s="35" t="s">
        <v>55</v>
      </c>
      <c r="AG2" s="35" t="s">
        <v>2</v>
      </c>
      <c r="AI2" t="s">
        <v>5</v>
      </c>
      <c r="AJ2" t="s">
        <v>33</v>
      </c>
      <c r="AK2" t="s">
        <v>57</v>
      </c>
      <c r="AL2" t="s">
        <v>58</v>
      </c>
      <c r="AM2" t="s">
        <v>59</v>
      </c>
      <c r="AN2" t="s">
        <v>1</v>
      </c>
      <c r="AO2" t="s">
        <v>54</v>
      </c>
      <c r="AP2" t="s">
        <v>55</v>
      </c>
      <c r="AQ2" t="s">
        <v>2</v>
      </c>
    </row>
    <row r="3" spans="1:43" x14ac:dyDescent="0.25">
      <c r="A3" s="4"/>
      <c r="B3" s="4"/>
      <c r="C3" s="4"/>
      <c r="D3" s="2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Y3" s="32" t="s">
        <v>22</v>
      </c>
      <c r="Z3" s="30">
        <f>_xlfn.XLOOKUP(Tabela17[[#This Row],[VENDEDOR]],[1]!Tabela4[VENDEDOR],[1]!Tabela4[META A])</f>
        <v>35</v>
      </c>
      <c r="AA3" s="28">
        <f>_xlfn.XLOOKUP(Tabela17[[#This Row],[VENDEDOR]],[1]!Tabela4[VENDEDOR],[1]!Tabela4[META B])</f>
        <v>30</v>
      </c>
      <c r="AB3" s="28">
        <f>_xlfn.XLOOKUP(Tabela17[[#This Row],[VENDEDOR]],[1]!Tabela4[VENDEDOR],[1]!Tabela4[META C])</f>
        <v>24.5</v>
      </c>
      <c r="AC3" s="28">
        <f>_xlfn.XLOOKUP(Tabela17[[#This Row],[VENDEDOR]],[1]!Tabela4[VENDEDOR],[1]!Tabela4[META D])</f>
        <v>14</v>
      </c>
      <c r="AD3" s="29">
        <f>IFERROR(_xlfn.XLOOKUP(Y3,'[1]BASE PYTHON'!$K:$K,'[1]BASE PYTHON'!$N:$N,0),0)</f>
        <v>0</v>
      </c>
      <c r="AE3" s="29" t="str" cm="1">
        <f t="array" ref="AE3">_xlfn.IFS(AD3&gt;=Z3,"A",AD3&gt;=AA3,"B",AD3&gt;=AB3,"C",AD3&gt;=AC3,"D",TRUE,"NÃO ATINGIDO")</f>
        <v>NÃO ATINGIDO</v>
      </c>
      <c r="AF3" s="29" t="str" cm="1">
        <f t="array" ref="AF3">_xlfn.IFS(AE3="NÃO ATINGIDO","D",AE3="D","C",AE3="C","B",AE3="B","A",AE3="A","OBJETIVO ALCANÇADO")</f>
        <v>D</v>
      </c>
      <c r="AG3" s="29" cm="1">
        <f t="array" ref="AG3">_xlfn.IFS(AF3="D",MAX(AC3-AD3,0),AF3="C",MAX(AB3-AD3,0),AF3="B",MAX(AA3-AD3,0),AF3="A",MAX(Z3-AD3,0),AF3="OBJETIVO ALCANÇADO",0)</f>
        <v>14</v>
      </c>
      <c r="AI3" t="s">
        <v>22</v>
      </c>
      <c r="AJ3" s="24">
        <f>_xlfn.XLOOKUP(Tabela817[[#This Row],[VENDEDOR]],[1]!Tabela8[VENDEDOR],[1]!Tabela8[META A])</f>
        <v>88000</v>
      </c>
      <c r="AK3" s="24">
        <f>_xlfn.XLOOKUP(Tabela817[[#This Row],[VENDEDOR]],[1]!Tabela8[VENDEDOR],[1]!Tabela8[META B])</f>
        <v>74800</v>
      </c>
      <c r="AL3" s="24">
        <f>_xlfn.XLOOKUP(Tabela817[[#This Row],[VENDEDOR]],[1]!Tabela8[VENDEDOR],[1]!Tabela8[META C])</f>
        <v>61599.999999999993</v>
      </c>
      <c r="AM3" s="24">
        <f>_xlfn.XLOOKUP(Tabela817[[#This Row],[VENDEDOR]],[1]!Tabela8[VENDEDOR],[1]!Tabela8[META D])</f>
        <v>39600</v>
      </c>
      <c r="AN3" s="25">
        <f>IFERROR(_xlfn.XLOOKUP(AI3,'[1]BASE PYTHON'!$E:$E,'[1]BASE PYTHON'!$F:$F,0),0)</f>
        <v>59228.230000000018</v>
      </c>
      <c r="AO3" s="26" t="str" cm="1">
        <f t="array" ref="AO3">_xlfn.IFS(AN3&gt;=AJ3,"A",AN3&gt;=AK3,"B",AN3&gt;=AL3,"C",AN3&gt;=AM3,"D",TRUE,"NÃO ATINGIDO")</f>
        <v>D</v>
      </c>
      <c r="AP3" s="26" t="str" cm="1">
        <f t="array" ref="AP3">_xlfn.IFS(AO3="NÃO ATINGIDO","D",AO3="D","C",AO3="C","B",AO3="B","A",AO3="A","OBJETIVO ALCANÇADO")</f>
        <v>C</v>
      </c>
      <c r="AQ3" s="25" cm="1">
        <f t="array" ref="AQ3">_xlfn.IFS(AP3="D",MAX(AM3-AN3,0),AP3="C",MAX(AL3-AN3,0),AP3="B",MAX(AK3-AN3,0),AP3="A",MAX(AJ3-AN3,0),AP3="OBJETIVO ALCANÇADO",0)</f>
        <v>2371.769999999975</v>
      </c>
    </row>
    <row r="4" spans="1:43" x14ac:dyDescent="0.25">
      <c r="A4" s="4"/>
      <c r="B4" s="4" t="s">
        <v>38</v>
      </c>
      <c r="C4" s="2">
        <f>SUM(C10:C36)</f>
        <v>6031000</v>
      </c>
      <c r="D4" s="2"/>
      <c r="E4" s="4"/>
      <c r="F4" s="4"/>
      <c r="G4" s="4"/>
      <c r="H4" s="4" t="s">
        <v>0</v>
      </c>
      <c r="I4" s="7">
        <f>SUM(I10:I27)</f>
        <v>300470</v>
      </c>
      <c r="J4" s="4"/>
      <c r="K4" s="4"/>
      <c r="L4" s="4"/>
      <c r="M4" s="4"/>
      <c r="N4" s="4" t="s">
        <v>37</v>
      </c>
      <c r="O4" s="7">
        <f>SUM(O11:O17)</f>
        <v>0</v>
      </c>
      <c r="P4" s="4"/>
      <c r="Q4" s="4"/>
      <c r="R4" s="4"/>
      <c r="S4" s="4"/>
      <c r="T4" s="4" t="s">
        <v>38</v>
      </c>
      <c r="U4" s="4">
        <f>SUM(U10:U26)</f>
        <v>560</v>
      </c>
      <c r="V4" s="4"/>
      <c r="W4" s="4"/>
      <c r="Y4" s="33" t="s">
        <v>24</v>
      </c>
      <c r="Z4" s="30">
        <f>_xlfn.XLOOKUP(Tabela17[[#This Row],[VENDEDOR]],[1]!Tabela4[VENDEDOR],[1]!Tabela4[META A])</f>
        <v>79</v>
      </c>
      <c r="AA4" s="30">
        <f>_xlfn.XLOOKUP(Tabela17[[#This Row],[VENDEDOR]],[1]!Tabela4[VENDEDOR],[1]!Tabela4[META B])</f>
        <v>68</v>
      </c>
      <c r="AB4" s="30">
        <f>_xlfn.XLOOKUP(Tabela17[[#This Row],[VENDEDOR]],[1]!Tabela4[VENDEDOR],[1]!Tabela4[META C])</f>
        <v>56</v>
      </c>
      <c r="AC4" s="30">
        <f>_xlfn.XLOOKUP(Tabela17[[#This Row],[VENDEDOR]],[1]!Tabela4[VENDEDOR],[1]!Tabela4[META D])</f>
        <v>36</v>
      </c>
      <c r="AD4" s="31">
        <f>IFERROR(_xlfn.XLOOKUP(Y4,'[1]BASE PYTHON'!$K:$K,'[1]BASE PYTHON'!$M:$M,0),0)</f>
        <v>68</v>
      </c>
      <c r="AE4" s="31" t="str" cm="1">
        <f t="array" ref="AE4">_xlfn.IFS(AD4&gt;=Z4,"A",AD4&gt;=AA4,"B",AD4&gt;=AB4,"C",AD4&gt;=AC4,"D",TRUE,"NÃO ATINGIDO")</f>
        <v>B</v>
      </c>
      <c r="AF4" s="31" t="str" cm="1">
        <f t="array" ref="AF4">_xlfn.IFS(AE4="NÃO ATINGIDO","D",AE4="D","C",AE4="C","B",AE4="B","A",AE4="A","OBJETIVO ALCANÇADO")</f>
        <v>A</v>
      </c>
      <c r="AG4" s="31" cm="1">
        <f t="array" ref="AG4">_xlfn.IFS(AF4="D",MAX(AC4-AD4,0),AF4="C",MAX(AB4-AD4,0),AF4="B",MAX(AA4-AD4,0),AF4="A",MAX(Z4-AD4,0),AF4="OBJETIVO ALCANÇADO",0)</f>
        <v>11</v>
      </c>
      <c r="AI4" t="s">
        <v>24</v>
      </c>
      <c r="AJ4" s="24">
        <f>_xlfn.XLOOKUP(Tabela817[[#This Row],[VENDEDOR]],[1]!Tabela8[VENDEDOR],[1]!Tabela8[META A])</f>
        <v>79000</v>
      </c>
      <c r="AK4" s="24">
        <f>_xlfn.XLOOKUP(Tabela817[[#This Row],[VENDEDOR]],[1]!Tabela8[VENDEDOR],[1]!Tabela8[META B])</f>
        <v>67150</v>
      </c>
      <c r="AL4" s="24">
        <f>_xlfn.XLOOKUP(Tabela817[[#This Row],[VENDEDOR]],[1]!Tabela8[VENDEDOR],[1]!Tabela8[META C])</f>
        <v>55300</v>
      </c>
      <c r="AM4" s="24">
        <f>_xlfn.XLOOKUP(Tabela817[[#This Row],[VENDEDOR]],[1]!Tabela8[VENDEDOR],[1]!Tabela8[META D])</f>
        <v>35550</v>
      </c>
      <c r="AN4" s="25">
        <f>IFERROR(_xlfn.XLOOKUP(AI4,'[1]BASE PYTHON'!$E:$E,'[1]BASE PYTHON'!$F:$F,0),0)</f>
        <v>58769.760000000009</v>
      </c>
      <c r="AO4" s="26" t="str" cm="1">
        <f t="array" ref="AO4">_xlfn.IFS(AN4&gt;=AJ4,"A",AN4&gt;=AK4,"B",AN4&gt;=AL4,"C",AN4&gt;=AM4,"D",TRUE,"NÃO ATINGIDO")</f>
        <v>C</v>
      </c>
      <c r="AP4" s="26" t="str" cm="1">
        <f t="array" ref="AP4">_xlfn.IFS(AO4="NÃO ATINGIDO","D",AO4="D","C",AO4="C","B",AO4="B","A",AO4="A","OBJETIVO ALCANÇADO")</f>
        <v>B</v>
      </c>
      <c r="AQ4" s="25" cm="1">
        <f t="array" ref="AQ4">_xlfn.IFS(AP4="D",MAX(AM4-AN4,0),AP4="C",MAX(AL4-AN4,0),AP4="B",MAX(AK4-AN4,0),AP4="A",MAX(AJ4-AN4,0),AP4="OBJETIVO ALCANÇADO",0)</f>
        <v>8380.2399999999907</v>
      </c>
    </row>
    <row r="5" spans="1:43" x14ac:dyDescent="0.25">
      <c r="A5" s="4"/>
      <c r="B5" s="4" t="s">
        <v>1</v>
      </c>
      <c r="C5" s="2">
        <f>SUM(D10:D36)</f>
        <v>3960015.8499999964</v>
      </c>
      <c r="D5" s="2"/>
      <c r="E5" s="4"/>
      <c r="F5" s="4"/>
      <c r="G5" s="4"/>
      <c r="H5" s="4" t="s">
        <v>1</v>
      </c>
      <c r="I5" s="7">
        <f ca="1">SUM(J10:J27)</f>
        <v>2185106.5899999966</v>
      </c>
      <c r="J5" s="4"/>
      <c r="K5" s="4"/>
      <c r="L5" s="4"/>
      <c r="M5" s="4"/>
      <c r="N5" s="4" t="s">
        <v>1</v>
      </c>
      <c r="O5" s="7">
        <f>SUM(P11:P17)</f>
        <v>0</v>
      </c>
      <c r="P5" s="4"/>
      <c r="Q5" s="4"/>
      <c r="R5" s="4"/>
      <c r="S5" s="4"/>
      <c r="T5" s="4" t="s">
        <v>1</v>
      </c>
      <c r="U5" s="4">
        <f ca="1">SUM(V10:V26)</f>
        <v>0</v>
      </c>
      <c r="V5" s="4"/>
      <c r="W5" s="4"/>
      <c r="Y5" s="32" t="s">
        <v>8</v>
      </c>
      <c r="Z5" s="30">
        <f>_xlfn.XLOOKUP(Tabela17[[#This Row],[VENDEDOR]],[1]!Tabela4[VENDEDOR],[1]!Tabela4[META A])</f>
        <v>35</v>
      </c>
      <c r="AA5" s="28">
        <f>_xlfn.XLOOKUP(Tabela17[[#This Row],[VENDEDOR]],[1]!Tabela4[VENDEDOR],[1]!Tabela4[META B])</f>
        <v>30</v>
      </c>
      <c r="AB5" s="28">
        <f>_xlfn.XLOOKUP(Tabela17[[#This Row],[VENDEDOR]],[1]!Tabela4[VENDEDOR],[1]!Tabela4[META C])</f>
        <v>24.5</v>
      </c>
      <c r="AC5" s="28">
        <f>_xlfn.XLOOKUP(Tabela17[[#This Row],[VENDEDOR]],[1]!Tabela4[VENDEDOR],[1]!Tabela4[META D])</f>
        <v>14</v>
      </c>
      <c r="AD5" s="29">
        <f>IFERROR(_xlfn.XLOOKUP(Y5,'[1]BASE PYTHON'!$K:$K,'[1]BASE PYTHON'!$N:$N,0),0)</f>
        <v>0</v>
      </c>
      <c r="AE5" s="29" t="str" cm="1">
        <f t="array" ref="AE5">_xlfn.IFS(AD5&gt;=Z5,"A",AD5&gt;=AA5,"B",AD5&gt;=AB5,"C",AD5&gt;=AC5,"D",TRUE,"NÃO ATINGIDO")</f>
        <v>NÃO ATINGIDO</v>
      </c>
      <c r="AF5" s="29" t="str" cm="1">
        <f t="array" ref="AF5">_xlfn.IFS(AE5="NÃO ATINGIDO","D",AE5="D","C",AE5="C","B",AE5="B","A",AE5="A","OBJETIVO ALCANÇADO")</f>
        <v>D</v>
      </c>
      <c r="AG5" s="29" cm="1">
        <f t="array" ref="AG5">_xlfn.IFS(AF5="D",MAX(AC5-AD5,0),AF5="C",MAX(AB5-AD5,0),AF5="B",MAX(AA5-AD5,0),AF5="A",MAX(Z5-AD5,0),AF5="OBJETIVO ALCANÇADO",0)</f>
        <v>14</v>
      </c>
      <c r="AI5" t="s">
        <v>8</v>
      </c>
      <c r="AJ5" s="24">
        <f>_xlfn.XLOOKUP(Tabela817[[#This Row],[VENDEDOR]],[1]!Tabela8[VENDEDOR],[1]!Tabela8[META A])</f>
        <v>345000</v>
      </c>
      <c r="AK5" s="24">
        <f>_xlfn.XLOOKUP(Tabela817[[#This Row],[VENDEDOR]],[1]!Tabela8[VENDEDOR],[1]!Tabela8[META B])</f>
        <v>293250</v>
      </c>
      <c r="AL5" s="24">
        <f>_xlfn.XLOOKUP(Tabela817[[#This Row],[VENDEDOR]],[1]!Tabela8[VENDEDOR],[1]!Tabela8[META C])</f>
        <v>241499.99999999997</v>
      </c>
      <c r="AM5" s="24">
        <f>_xlfn.XLOOKUP(Tabela817[[#This Row],[VENDEDOR]],[1]!Tabela8[VENDEDOR],[1]!Tabela8[META D])</f>
        <v>155250</v>
      </c>
      <c r="AN5" s="25">
        <f>IFERROR(_xlfn.XLOOKUP(AI5,'[1]BASE PYTHON'!$E:$E,'[1]BASE PYTHON'!$F:$F,0),0)</f>
        <v>272619.34999999963</v>
      </c>
      <c r="AO5" s="26" t="str" cm="1">
        <f t="array" ref="AO5">_xlfn.IFS(AN5&gt;=AJ5,"A",AN5&gt;=AK5,"B",AN5&gt;=AL5,"C",AN5&gt;=AM5,"D",TRUE,"NÃO ATINGIDO")</f>
        <v>C</v>
      </c>
      <c r="AP5" s="26" t="str" cm="1">
        <f t="array" ref="AP5">_xlfn.IFS(AO5="NÃO ATINGIDO","D",AO5="D","C",AO5="C","B",AO5="B","A",AO5="A","OBJETIVO ALCANÇADO")</f>
        <v>B</v>
      </c>
      <c r="AQ5" s="25" cm="1">
        <f t="array" ref="AQ5">_xlfn.IFS(AP5="D",MAX(AM5-AN5,0),AP5="C",MAX(AL5-AN5,0),AP5="B",MAX(AK5-AN5,0),AP5="A",MAX(AJ5-AN5,0),AP5="OBJETIVO ALCANÇADO",0)</f>
        <v>20630.650000000373</v>
      </c>
    </row>
    <row r="6" spans="1:43" x14ac:dyDescent="0.25">
      <c r="A6" s="4"/>
      <c r="B6" s="4" t="s">
        <v>2</v>
      </c>
      <c r="C6" s="2">
        <f>C4-C5</f>
        <v>2070984.1500000036</v>
      </c>
      <c r="D6" s="2"/>
      <c r="E6" s="4"/>
      <c r="F6" s="4"/>
      <c r="G6" s="4"/>
      <c r="H6" s="4" t="s">
        <v>2</v>
      </c>
      <c r="I6" s="7">
        <f ca="1">I4-I5</f>
        <v>-1884636.5899999966</v>
      </c>
      <c r="J6" s="4"/>
      <c r="K6" s="4"/>
      <c r="L6" s="4"/>
      <c r="M6" s="4"/>
      <c r="N6" s="4" t="s">
        <v>2</v>
      </c>
      <c r="O6" s="7">
        <f>O4-O5</f>
        <v>0</v>
      </c>
      <c r="P6" s="4"/>
      <c r="Q6" s="4"/>
      <c r="R6" s="4"/>
      <c r="S6" s="4"/>
      <c r="T6" s="4" t="s">
        <v>2</v>
      </c>
      <c r="U6" s="4">
        <f ca="1">U4-U5</f>
        <v>560</v>
      </c>
      <c r="V6" s="4"/>
      <c r="W6" s="4"/>
      <c r="Y6" s="33" t="s">
        <v>18</v>
      </c>
      <c r="Z6" s="30">
        <f>_xlfn.XLOOKUP(Tabela17[[#This Row],[VENDEDOR]],[1]!Tabela4[VENDEDOR],[1]!Tabela4[META A])</f>
        <v>35</v>
      </c>
      <c r="AA6" s="30">
        <f>_xlfn.XLOOKUP(Tabela17[[#This Row],[VENDEDOR]],[1]!Tabela4[VENDEDOR],[1]!Tabela4[META B])</f>
        <v>30</v>
      </c>
      <c r="AB6" s="30">
        <f>_xlfn.XLOOKUP(Tabela17[[#This Row],[VENDEDOR]],[1]!Tabela4[VENDEDOR],[1]!Tabela4[META C])</f>
        <v>24.5</v>
      </c>
      <c r="AC6" s="30">
        <f>_xlfn.XLOOKUP(Tabela17[[#This Row],[VENDEDOR]],[1]!Tabela4[VENDEDOR],[1]!Tabela4[META D])</f>
        <v>14</v>
      </c>
      <c r="AD6" s="31">
        <f>IFERROR(_xlfn.XLOOKUP(Y6,'[1]BASE PYTHON'!$K:$K,'[1]BASE PYTHON'!$N:$N,0),0)</f>
        <v>0</v>
      </c>
      <c r="AE6" s="31" t="str" cm="1">
        <f t="array" ref="AE6">_xlfn.IFS(AD6&gt;=Z6,"A",AD6&gt;=AA6,"B",AD6&gt;=AB6,"C",AD6&gt;=AC6,"D",TRUE,"NÃO ATINGIDO")</f>
        <v>NÃO ATINGIDO</v>
      </c>
      <c r="AF6" s="31" t="str" cm="1">
        <f t="array" ref="AF6">_xlfn.IFS(AE6="NÃO ATINGIDO","D",AE6="D","C",AE6="C","B",AE6="B","A",AE6="A","OBJETIVO ALCANÇADO")</f>
        <v>D</v>
      </c>
      <c r="AG6" s="31" cm="1">
        <f t="array" ref="AG6">_xlfn.IFS(AF6="D",MAX(AC6-AD6,0),AF6="C",MAX(AB6-AD6,0),AF6="B",MAX(AA6-AD6,0),AF6="A",MAX(Z6-AD6,0),AF6="OBJETIVO ALCANÇADO",0)</f>
        <v>14</v>
      </c>
      <c r="AI6" t="s">
        <v>18</v>
      </c>
      <c r="AJ6" s="24">
        <f>_xlfn.XLOOKUP(Tabela817[[#This Row],[VENDEDOR]],[1]!Tabela8[VENDEDOR],[1]!Tabela8[META A])</f>
        <v>331500</v>
      </c>
      <c r="AK6" s="24">
        <f>_xlfn.XLOOKUP(Tabela817[[#This Row],[VENDEDOR]],[1]!Tabela8[VENDEDOR],[1]!Tabela8[META B])</f>
        <v>281775</v>
      </c>
      <c r="AL6" s="24">
        <f>_xlfn.XLOOKUP(Tabela817[[#This Row],[VENDEDOR]],[1]!Tabela8[VENDEDOR],[1]!Tabela8[META C])</f>
        <v>232049.99999999997</v>
      </c>
      <c r="AM6" s="24">
        <f>_xlfn.XLOOKUP(Tabela817[[#This Row],[VENDEDOR]],[1]!Tabela8[VENDEDOR],[1]!Tabela8[META D])</f>
        <v>149175</v>
      </c>
      <c r="AN6" s="25">
        <f>IFERROR(_xlfn.XLOOKUP(AI6,'[1]BASE PYTHON'!$E:$E,'[1]BASE PYTHON'!$F:$F,0),0)</f>
        <v>251412.51500000042</v>
      </c>
      <c r="AO6" s="26" t="str" cm="1">
        <f t="array" ref="AO6">_xlfn.IFS(AN6&gt;=AJ6,"A",AN6&gt;=AK6,"B",AN6&gt;=AL6,"C",AN6&gt;=AM6,"D",TRUE,"NÃO ATINGIDO")</f>
        <v>C</v>
      </c>
      <c r="AP6" s="26" t="str" cm="1">
        <f t="array" ref="AP6">_xlfn.IFS(AO6="NÃO ATINGIDO","D",AO6="D","C",AO6="C","B",AO6="B","A",AO6="A","OBJETIVO ALCANÇADO")</f>
        <v>B</v>
      </c>
      <c r="AQ6" s="25" cm="1">
        <f t="array" ref="AQ6">_xlfn.IFS(AP6="D",MAX(AM6-AN6,0),AP6="C",MAX(AL6-AN6,0),AP6="B",MAX(AK6-AN6,0),AP6="A",MAX(AJ6-AN6,0),AP6="OBJETIVO ALCANÇADO",0)</f>
        <v>30362.484999999579</v>
      </c>
    </row>
    <row r="7" spans="1:43" x14ac:dyDescent="0.25">
      <c r="A7" s="4"/>
      <c r="B7" s="4" t="s">
        <v>3</v>
      </c>
      <c r="C7" s="3">
        <f>1-(C6/C4)</f>
        <v>0.65661015586138227</v>
      </c>
      <c r="D7" s="2"/>
      <c r="E7" s="4"/>
      <c r="F7" s="4"/>
      <c r="G7" s="4"/>
      <c r="H7" s="4" t="s">
        <v>3</v>
      </c>
      <c r="I7" s="3">
        <f ca="1">1-(I6/I4)</f>
        <v>7.2722953705860709</v>
      </c>
      <c r="J7" s="4"/>
      <c r="K7" s="4"/>
      <c r="L7" s="4"/>
      <c r="M7" s="4"/>
      <c r="N7" s="4" t="s">
        <v>3</v>
      </c>
      <c r="O7" s="3">
        <f>IFERROR(1-(O6/O4),0)</f>
        <v>0</v>
      </c>
      <c r="P7" s="4"/>
      <c r="Q7" s="4"/>
      <c r="R7" s="4"/>
      <c r="S7" s="4"/>
      <c r="T7" s="4" t="s">
        <v>3</v>
      </c>
      <c r="U7" s="3">
        <f ca="1">1-(U6/U4)</f>
        <v>0</v>
      </c>
      <c r="V7" s="4"/>
      <c r="W7" s="4"/>
      <c r="Y7" s="32" t="s">
        <v>10</v>
      </c>
      <c r="Z7" s="30">
        <f>_xlfn.XLOOKUP(Tabela17[[#This Row],[VENDEDOR]],[1]!Tabela4[VENDEDOR],[1]!Tabela4[META A])</f>
        <v>35</v>
      </c>
      <c r="AA7" s="28">
        <f>_xlfn.XLOOKUP(Tabela17[[#This Row],[VENDEDOR]],[1]!Tabela4[VENDEDOR],[1]!Tabela4[META B])</f>
        <v>30</v>
      </c>
      <c r="AB7" s="28">
        <f>_xlfn.XLOOKUP(Tabela17[[#This Row],[VENDEDOR]],[1]!Tabela4[VENDEDOR],[1]!Tabela4[META C])</f>
        <v>24.5</v>
      </c>
      <c r="AC7" s="28">
        <f>_xlfn.XLOOKUP(Tabela17[[#This Row],[VENDEDOR]],[1]!Tabela4[VENDEDOR],[1]!Tabela4[META D])</f>
        <v>14</v>
      </c>
      <c r="AD7" s="29">
        <f>IFERROR(_xlfn.XLOOKUP(Y7,'[1]BASE PYTHON'!$K:$K,'[1]BASE PYTHON'!$N:$N,0),0)</f>
        <v>0</v>
      </c>
      <c r="AE7" s="29" t="str" cm="1">
        <f t="array" ref="AE7">_xlfn.IFS(AD7&gt;=Z7,"A",AD7&gt;=AA7,"B",AD7&gt;=AB7,"C",AD7&gt;=AC7,"D",TRUE,"NÃO ATINGIDO")</f>
        <v>NÃO ATINGIDO</v>
      </c>
      <c r="AF7" s="29" t="str" cm="1">
        <f t="array" ref="AF7">_xlfn.IFS(AE7="NÃO ATINGIDO","D",AE7="D","C",AE7="C","B",AE7="B","A",AE7="A","OBJETIVO ALCANÇADO")</f>
        <v>D</v>
      </c>
      <c r="AG7" s="29" cm="1">
        <f t="array" ref="AG7">_xlfn.IFS(AF7="D",MAX(AC7-AD7,0),AF7="C",MAX(AB7-AD7,0),AF7="B",MAX(AA7-AD7,0),AF7="A",MAX(Z7-AD7,0),AF7="OBJETIVO ALCANÇADO",0)</f>
        <v>14</v>
      </c>
      <c r="AI7" t="s">
        <v>10</v>
      </c>
      <c r="AJ7" s="24">
        <f>_xlfn.XLOOKUP(Tabela817[[#This Row],[VENDEDOR]],[1]!Tabela8[VENDEDOR],[1]!Tabela8[META A])</f>
        <v>281000</v>
      </c>
      <c r="AK7" s="24">
        <f>_xlfn.XLOOKUP(Tabela817[[#This Row],[VENDEDOR]],[1]!Tabela8[VENDEDOR],[1]!Tabela8[META B])</f>
        <v>238850</v>
      </c>
      <c r="AL7" s="24">
        <f>_xlfn.XLOOKUP(Tabela817[[#This Row],[VENDEDOR]],[1]!Tabela8[VENDEDOR],[1]!Tabela8[META C])</f>
        <v>196700</v>
      </c>
      <c r="AM7" s="24">
        <f>_xlfn.XLOOKUP(Tabela817[[#This Row],[VENDEDOR]],[1]!Tabela8[VENDEDOR],[1]!Tabela8[META D])</f>
        <v>126450</v>
      </c>
      <c r="AN7" s="25">
        <f>IFERROR(_xlfn.XLOOKUP(AI7,'[1]BASE PYTHON'!$E:$E,'[1]BASE PYTHON'!$F:$F,0),0)</f>
        <v>203747.14999999964</v>
      </c>
      <c r="AO7" s="26" t="str" cm="1">
        <f t="array" ref="AO7">_xlfn.IFS(AN7&gt;=AJ7,"A",AN7&gt;=AK7,"B",AN7&gt;=AL7,"C",AN7&gt;=AM7,"D",TRUE,"NÃO ATINGIDO")</f>
        <v>C</v>
      </c>
      <c r="AP7" s="26" t="str" cm="1">
        <f t="array" ref="AP7">_xlfn.IFS(AO7="NÃO ATINGIDO","D",AO7="D","C",AO7="C","B",AO7="B","A",AO7="A","OBJETIVO ALCANÇADO")</f>
        <v>B</v>
      </c>
      <c r="AQ7" s="25" cm="1">
        <f t="array" ref="AQ7">_xlfn.IFS(AP7="D",MAX(AM7-AN7,0),AP7="C",MAX(AL7-AN7,0),AP7="B",MAX(AK7-AN7,0),AP7="A",MAX(AJ7-AN7,0),AP7="OBJETIVO ALCANÇADO",0)</f>
        <v>35102.850000000355</v>
      </c>
    </row>
    <row r="8" spans="1:43" x14ac:dyDescent="0.25">
      <c r="A8" s="4"/>
      <c r="B8" s="4"/>
      <c r="D8" s="2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Y8" s="33" t="s">
        <v>13</v>
      </c>
      <c r="Z8" s="30">
        <f>_xlfn.XLOOKUP(Tabela17[[#This Row],[VENDEDOR]],[1]!Tabela4[VENDEDOR],[1]!Tabela4[META A])</f>
        <v>35</v>
      </c>
      <c r="AA8" s="30">
        <f>_xlfn.XLOOKUP(Tabela17[[#This Row],[VENDEDOR]],[1]!Tabela4[VENDEDOR],[1]!Tabela4[META B])</f>
        <v>30</v>
      </c>
      <c r="AB8" s="30">
        <f>_xlfn.XLOOKUP(Tabela17[[#This Row],[VENDEDOR]],[1]!Tabela4[VENDEDOR],[1]!Tabela4[META C])</f>
        <v>24.5</v>
      </c>
      <c r="AC8" s="30">
        <f>_xlfn.XLOOKUP(Tabela17[[#This Row],[VENDEDOR]],[1]!Tabela4[VENDEDOR],[1]!Tabela4[META D])</f>
        <v>14</v>
      </c>
      <c r="AD8" s="31">
        <f>IFERROR(_xlfn.XLOOKUP(Y8,'[1]BASE PYTHON'!$K:$K,'[1]BASE PYTHON'!$N:$N,0),0)</f>
        <v>0</v>
      </c>
      <c r="AE8" s="31" t="str" cm="1">
        <f t="array" ref="AE8">_xlfn.IFS(AD8&gt;=Z8,"A",AD8&gt;=AA8,"B",AD8&gt;=AB8,"C",AD8&gt;=AC8,"D",TRUE,"NÃO ATINGIDO")</f>
        <v>NÃO ATINGIDO</v>
      </c>
      <c r="AF8" s="31" t="str" cm="1">
        <f t="array" ref="AF8">_xlfn.IFS(AE8="NÃO ATINGIDO","D",AE8="D","C",AE8="C","B",AE8="B","A",AE8="A","OBJETIVO ALCANÇADO")</f>
        <v>D</v>
      </c>
      <c r="AG8" s="31" cm="1">
        <f t="array" ref="AG8">_xlfn.IFS(AF8="D",MAX(AC8-AD8,0),AF8="C",MAX(AB8-AD8,0),AF8="B",MAX(AA8-AD8,0),AF8="A",MAX(Z8-AD8,0),AF8="OBJETIVO ALCANÇADO",0)</f>
        <v>14</v>
      </c>
      <c r="AI8" t="s">
        <v>13</v>
      </c>
      <c r="AJ8" s="24">
        <f>_xlfn.XLOOKUP(Tabela817[[#This Row],[VENDEDOR]],[1]!Tabela8[VENDEDOR],[1]!Tabela8[META A])</f>
        <v>206000</v>
      </c>
      <c r="AK8" s="24">
        <f>_xlfn.XLOOKUP(Tabela817[[#This Row],[VENDEDOR]],[1]!Tabela8[VENDEDOR],[1]!Tabela8[META B])</f>
        <v>175100</v>
      </c>
      <c r="AL8" s="24">
        <f>_xlfn.XLOOKUP(Tabela817[[#This Row],[VENDEDOR]],[1]!Tabela8[VENDEDOR],[1]!Tabela8[META C])</f>
        <v>144200</v>
      </c>
      <c r="AM8" s="24">
        <f>_xlfn.XLOOKUP(Tabela817[[#This Row],[VENDEDOR]],[1]!Tabela8[VENDEDOR],[1]!Tabela8[META D])</f>
        <v>92700</v>
      </c>
      <c r="AN8" s="25">
        <f>IFERROR(_xlfn.XLOOKUP(AI8,'[1]BASE PYTHON'!$E:$E,'[1]BASE PYTHON'!$F:$F,0),0)</f>
        <v>148229.4349999995</v>
      </c>
      <c r="AO8" s="26" t="str" cm="1">
        <f t="array" ref="AO8">_xlfn.IFS(AN8&gt;=AJ8,"A",AN8&gt;=AK8,"B",AN8&gt;=AL8,"C",AN8&gt;=AM8,"D",TRUE,"NÃO ATINGIDO")</f>
        <v>C</v>
      </c>
      <c r="AP8" s="26" t="str" cm="1">
        <f t="array" ref="AP8">_xlfn.IFS(AO8="NÃO ATINGIDO","D",AO8="D","C",AO8="C","B",AO8="B","A",AO8="A","OBJETIVO ALCANÇADO")</f>
        <v>B</v>
      </c>
      <c r="AQ8" s="25" cm="1">
        <f t="array" ref="AQ8">_xlfn.IFS(AP8="D",MAX(AM8-AN8,0),AP8="C",MAX(AL8-AN8,0),AP8="B",MAX(AK8-AN8,0),AP8="A",MAX(AJ8-AN8,0),AP8="OBJETIVO ALCANÇADO",0)</f>
        <v>26870.565000000497</v>
      </c>
    </row>
    <row r="9" spans="1:43" x14ac:dyDescent="0.25">
      <c r="A9" s="16" t="s">
        <v>46</v>
      </c>
      <c r="B9" s="16" t="s">
        <v>5</v>
      </c>
      <c r="C9" s="41" t="s">
        <v>33</v>
      </c>
      <c r="D9" s="41" t="s">
        <v>1</v>
      </c>
      <c r="E9" s="16" t="s">
        <v>2</v>
      </c>
      <c r="F9" s="4"/>
      <c r="G9" s="16" t="s">
        <v>46</v>
      </c>
      <c r="H9" s="16" t="s">
        <v>5</v>
      </c>
      <c r="I9" s="16" t="s">
        <v>6</v>
      </c>
      <c r="J9" s="16" t="s">
        <v>1</v>
      </c>
      <c r="K9" s="16" t="s">
        <v>2</v>
      </c>
      <c r="L9" s="4"/>
      <c r="M9" s="4"/>
      <c r="N9" s="4"/>
      <c r="O9" s="8" t="s">
        <v>52</v>
      </c>
      <c r="P9" s="4"/>
      <c r="Q9" s="4"/>
      <c r="R9" s="4"/>
      <c r="S9" s="16" t="s">
        <v>46</v>
      </c>
      <c r="T9" s="16" t="s">
        <v>5</v>
      </c>
      <c r="U9" s="16" t="s">
        <v>33</v>
      </c>
      <c r="V9" s="16" t="s">
        <v>1</v>
      </c>
      <c r="W9" s="16" t="s">
        <v>2</v>
      </c>
      <c r="Y9" s="32" t="s">
        <v>20</v>
      </c>
      <c r="Z9" s="30">
        <f>_xlfn.XLOOKUP(Tabela17[[#This Row],[VENDEDOR]],[1]!Tabela4[VENDEDOR],[1]!Tabela4[META A])</f>
        <v>35</v>
      </c>
      <c r="AA9" s="28">
        <f>_xlfn.XLOOKUP(Tabela17[[#This Row],[VENDEDOR]],[1]!Tabela4[VENDEDOR],[1]!Tabela4[META B])</f>
        <v>30</v>
      </c>
      <c r="AB9" s="28">
        <f>_xlfn.XLOOKUP(Tabela17[[#This Row],[VENDEDOR]],[1]!Tabela4[VENDEDOR],[1]!Tabela4[META C])</f>
        <v>24.5</v>
      </c>
      <c r="AC9" s="28">
        <f>_xlfn.XLOOKUP(Tabela17[[#This Row],[VENDEDOR]],[1]!Tabela4[VENDEDOR],[1]!Tabela4[META D])</f>
        <v>14</v>
      </c>
      <c r="AD9" s="29">
        <f>IFERROR(_xlfn.XLOOKUP(Y9,'[1]BASE PYTHON'!$K:$K,'[1]BASE PYTHON'!$N:$N,0),0)</f>
        <v>0</v>
      </c>
      <c r="AE9" s="29" t="str" cm="1">
        <f t="array" ref="AE9">_xlfn.IFS(AD9&gt;=Z9,"A",AD9&gt;=AA9,"B",AD9&gt;=AB9,"C",AD9&gt;=AC9,"D",TRUE,"NÃO ATINGIDO")</f>
        <v>NÃO ATINGIDO</v>
      </c>
      <c r="AF9" s="29" t="str" cm="1">
        <f t="array" ref="AF9">_xlfn.IFS(AE9="NÃO ATINGIDO","D",AE9="D","C",AE9="C","B",AE9="B","A",AE9="A","OBJETIVO ALCANÇADO")</f>
        <v>D</v>
      </c>
      <c r="AG9" s="29" cm="1">
        <f t="array" ref="AG9">_xlfn.IFS(AF9="D",MAX(AC9-AD9,0),AF9="C",MAX(AB9-AD9,0),AF9="B",MAX(AA9-AD9,0),AF9="A",MAX(Z9-AD9,0),AF9="OBJETIVO ALCANÇADO",0)</f>
        <v>14</v>
      </c>
      <c r="AI9" t="s">
        <v>20</v>
      </c>
      <c r="AJ9" s="24">
        <f>_xlfn.XLOOKUP(Tabela817[[#This Row],[VENDEDOR]],[1]!Tabela8[VENDEDOR],[1]!Tabela8[META A])</f>
        <v>175000</v>
      </c>
      <c r="AK9" s="24">
        <f>_xlfn.XLOOKUP(Tabela817[[#This Row],[VENDEDOR]],[1]!Tabela8[VENDEDOR],[1]!Tabela8[META B])</f>
        <v>148750</v>
      </c>
      <c r="AL9" s="24">
        <f>_xlfn.XLOOKUP(Tabela817[[#This Row],[VENDEDOR]],[1]!Tabela8[VENDEDOR],[1]!Tabela8[META C])</f>
        <v>122499.99999999999</v>
      </c>
      <c r="AM9" s="24">
        <f>_xlfn.XLOOKUP(Tabela817[[#This Row],[VENDEDOR]],[1]!Tabela8[VENDEDOR],[1]!Tabela8[META D])</f>
        <v>78750</v>
      </c>
      <c r="AN9" s="25">
        <f>IFERROR(_xlfn.XLOOKUP(AI9,'[1]BASE PYTHON'!$E:$E,'[1]BASE PYTHON'!$F:$F,0),0)</f>
        <v>135944.54999999996</v>
      </c>
      <c r="AO9" s="26" t="str" cm="1">
        <f t="array" ref="AO9">_xlfn.IFS(AN9&gt;=AJ9,"A",AN9&gt;=AK9,"B",AN9&gt;=AL9,"C",AN9&gt;=AM9,"D",TRUE,"NÃO ATINGIDO")</f>
        <v>C</v>
      </c>
      <c r="AP9" s="26" t="str" cm="1">
        <f t="array" ref="AP9">_xlfn.IFS(AO9="NÃO ATINGIDO","D",AO9="D","C",AO9="C","B",AO9="B","A",AO9="A","OBJETIVO ALCANÇADO")</f>
        <v>B</v>
      </c>
      <c r="AQ9" s="25" cm="1">
        <f t="array" ref="AQ9">_xlfn.IFS(AP9="D",MAX(AM9-AN9,0),AP9="C",MAX(AL9-AN9,0),AP9="B",MAX(AK9-AN9,0),AP9="A",MAX(AJ9-AN9,0),AP9="OBJETIVO ALCANÇADO",0)</f>
        <v>12805.450000000041</v>
      </c>
    </row>
    <row r="10" spans="1:43" x14ac:dyDescent="0.25">
      <c r="A10" s="42" t="s">
        <v>7</v>
      </c>
      <c r="B10" s="42" t="s">
        <v>7</v>
      </c>
      <c r="C10" s="22">
        <f>_xlfn.XLOOKUP(Tabela13[[#This Row],[REFERENCIA]],[1]!Tabela2[VENDEDOR],[1]!Tabela2[META A],0)</f>
        <v>70500</v>
      </c>
      <c r="D10" s="22">
        <f>_xlfn.XLOOKUP(Tabela13[[#This Row],[REFERENCIA]],'[1]BASE PYTHON'!$E:$E,'[1]BASE PYTHON'!$F:$F,0)</f>
        <v>48786.559999999998</v>
      </c>
      <c r="E10" s="43">
        <f>Tabela13[[#This Row],[META A]]-Tabela13[[#This Row],[ATINGIDO]]</f>
        <v>21713.440000000002</v>
      </c>
      <c r="F10" s="4"/>
      <c r="G10" s="18" t="s">
        <v>18</v>
      </c>
      <c r="H10" s="18" t="s">
        <v>18</v>
      </c>
      <c r="I10" s="19">
        <f>_xlfn.XLOOKUP(Tabela5[[#This Row],[REFERENCIA]],'[1]BASE PYTHON'!$A$39:$A$55,'[1]BASE PYTHON'!$B$39:$B$55,0)</f>
        <v>28040</v>
      </c>
      <c r="J10" s="19">
        <f>_xlfn.XLOOKUP(Tabela5[[#This Row],[REFERENCIA]],'[1]BASE PYTHON'!$H:$H,'[1]BASE PYTHON'!$I:$I,0)</f>
        <v>251412.51500000042</v>
      </c>
      <c r="K10" s="20">
        <f>Tabela5[[#This Row],[COMPROMISSO]]-Tabela5[[#This Row],[ATINGIDO]]</f>
        <v>-223372.51500000042</v>
      </c>
      <c r="L10" s="4"/>
      <c r="M10" s="4" t="s">
        <v>46</v>
      </c>
      <c r="N10" s="4" t="s">
        <v>5</v>
      </c>
      <c r="O10" s="4" t="s">
        <v>6</v>
      </c>
      <c r="P10" s="4" t="s">
        <v>1</v>
      </c>
      <c r="Q10" s="4" t="s">
        <v>2</v>
      </c>
      <c r="R10" s="2"/>
      <c r="S10" s="17" t="s">
        <v>7</v>
      </c>
      <c r="T10" s="17" t="s">
        <v>7</v>
      </c>
      <c r="U10" s="17">
        <f>_xlfn.XLOOKUP(Tabela2[[#This Row],[REFERENCIA]],'[1]BASE PYTHON'!$A$63:$A$79,'[1]BASE PYTHON'!$B$63:$B$79)</f>
        <v>35</v>
      </c>
      <c r="V10" s="17">
        <f>IFERROR(VLOOKUP(Tabela2[[#This Row],[REFERENCIA]],'[1]BASE PYTHON'!$K:$N,'[1]BASE PYTHON'!L$1,0),0)</f>
        <v>0</v>
      </c>
      <c r="W10" s="17">
        <f>U10-V10</f>
        <v>35</v>
      </c>
      <c r="Y10" s="33" t="s">
        <v>17</v>
      </c>
      <c r="Z10" s="30">
        <f>_xlfn.XLOOKUP(Tabela17[[#This Row],[VENDEDOR]],[1]!Tabela4[VENDEDOR],[1]!Tabela4[META A])</f>
        <v>35</v>
      </c>
      <c r="AA10" s="30">
        <f>_xlfn.XLOOKUP(Tabela17[[#This Row],[VENDEDOR]],[1]!Tabela4[VENDEDOR],[1]!Tabela4[META B])</f>
        <v>30</v>
      </c>
      <c r="AB10" s="30">
        <f>_xlfn.XLOOKUP(Tabela17[[#This Row],[VENDEDOR]],[1]!Tabela4[VENDEDOR],[1]!Tabela4[META C])</f>
        <v>24.5</v>
      </c>
      <c r="AC10" s="30">
        <f>_xlfn.XLOOKUP(Tabela17[[#This Row],[VENDEDOR]],[1]!Tabela4[VENDEDOR],[1]!Tabela4[META D])</f>
        <v>14</v>
      </c>
      <c r="AD10" s="31">
        <f>IFERROR(_xlfn.XLOOKUP(Y10,'[1]BASE PYTHON'!$K:$K,'[1]BASE PYTHON'!$N:$N,0),0)</f>
        <v>0</v>
      </c>
      <c r="AE10" s="31" t="str" cm="1">
        <f t="array" ref="AE10">_xlfn.IFS(AD10&gt;=Z10,"A",AD10&gt;=AA10,"B",AD10&gt;=AB10,"C",AD10&gt;=AC10,"D",TRUE,"NÃO ATINGIDO")</f>
        <v>NÃO ATINGIDO</v>
      </c>
      <c r="AF10" s="31" t="str" cm="1">
        <f t="array" ref="AF10">_xlfn.IFS(AE10="NÃO ATINGIDO","D",AE10="D","C",AE10="C","B",AE10="B","A",AE10="A","OBJETIVO ALCANÇADO")</f>
        <v>D</v>
      </c>
      <c r="AG10" s="31" cm="1">
        <f t="array" ref="AG10">_xlfn.IFS(AF10="D",MAX(AC10-AD10,0),AF10="C",MAX(AB10-AD10,0),AF10="B",MAX(AA10-AD10,0),AF10="A",MAX(Z10-AD10,0),AF10="OBJETIVO ALCANÇADO",0)</f>
        <v>14</v>
      </c>
      <c r="AI10" t="s">
        <v>17</v>
      </c>
      <c r="AJ10" s="24">
        <f>_xlfn.XLOOKUP(Tabela817[[#This Row],[VENDEDOR]],[1]!Tabela8[VENDEDOR],[1]!Tabela8[META A])</f>
        <v>272000</v>
      </c>
      <c r="AK10" s="24">
        <f>_xlfn.XLOOKUP(Tabela817[[#This Row],[VENDEDOR]],[1]!Tabela8[VENDEDOR],[1]!Tabela8[META B])</f>
        <v>231200</v>
      </c>
      <c r="AL10" s="24">
        <f>_xlfn.XLOOKUP(Tabela817[[#This Row],[VENDEDOR]],[1]!Tabela8[VENDEDOR],[1]!Tabela8[META C])</f>
        <v>190400</v>
      </c>
      <c r="AM10" s="24">
        <f>_xlfn.XLOOKUP(Tabela817[[#This Row],[VENDEDOR]],[1]!Tabela8[VENDEDOR],[1]!Tabela8[META D])</f>
        <v>122400</v>
      </c>
      <c r="AN10" s="25">
        <f>IFERROR(_xlfn.XLOOKUP(AI10,'[1]BASE PYTHON'!$E:$E,'[1]BASE PYTHON'!$F:$F,0),0)</f>
        <v>211937.01999999859</v>
      </c>
      <c r="AO10" s="26" t="str" cm="1">
        <f t="array" ref="AO10">_xlfn.IFS(AN10&gt;=AJ10,"A",AN10&gt;=AK10,"B",AN10&gt;=AL10,"C",AN10&gt;=AM10,"D",TRUE,"NÃO ATINGIDO")</f>
        <v>C</v>
      </c>
      <c r="AP10" s="26" t="str" cm="1">
        <f t="array" ref="AP10">_xlfn.IFS(AO10="NÃO ATINGIDO","D",AO10="D","C",AO10="C","B",AO10="B","A",AO10="A","OBJETIVO ALCANÇADO")</f>
        <v>B</v>
      </c>
      <c r="AQ10" s="25" cm="1">
        <f t="array" ref="AQ10">_xlfn.IFS(AP10="D",MAX(AM10-AN10,0),AP10="C",MAX(AL10-AN10,0),AP10="B",MAX(AK10-AN10,0),AP10="A",MAX(AJ10-AN10,0),AP10="OBJETIVO ALCANÇADO",0)</f>
        <v>19262.980000001407</v>
      </c>
    </row>
    <row r="11" spans="1:43" x14ac:dyDescent="0.25">
      <c r="A11" s="42" t="s">
        <v>8</v>
      </c>
      <c r="B11" s="42" t="s">
        <v>8</v>
      </c>
      <c r="C11" s="22">
        <f>_xlfn.XLOOKUP(Tabela13[[#This Row],[REFERENCIA]],[1]!Tabela2[VENDEDOR],[1]!Tabela2[META A],0)</f>
        <v>345000</v>
      </c>
      <c r="D11" s="22">
        <f>_xlfn.XLOOKUP(Tabela13[[#This Row],[REFERENCIA]],'[1]BASE PYTHON'!$E:$E,'[1]BASE PYTHON'!$F:$F,0)</f>
        <v>272619.34999999963</v>
      </c>
      <c r="E11" s="43">
        <f>Tabela13[[#This Row],[META A]]-Tabela13[[#This Row],[ATINGIDO]]</f>
        <v>72380.650000000373</v>
      </c>
      <c r="F11" s="4"/>
      <c r="G11" s="18" t="s">
        <v>17</v>
      </c>
      <c r="H11" s="18" t="s">
        <v>17</v>
      </c>
      <c r="I11" s="19">
        <f>_xlfn.XLOOKUP(Tabela5[[#This Row],[REFERENCIA]],'[1]BASE PYTHON'!$A$39:$A$55,'[1]BASE PYTHON'!$B$39:$B$55,0)</f>
        <v>25000</v>
      </c>
      <c r="J11" s="19">
        <f>_xlfn.XLOOKUP(Tabela5[[#This Row],[REFERENCIA]],'[1]BASE PYTHON'!$H:$H,'[1]BASE PYTHON'!$I:$I,0)</f>
        <v>211937.01999999859</v>
      </c>
      <c r="K11" s="20">
        <f>Tabela5[[#This Row],[COMPROMISSO]]-Tabela5[[#This Row],[ATINGIDO]]</f>
        <v>-186937.01999999859</v>
      </c>
      <c r="L11" s="4"/>
      <c r="M11" s="4" t="s">
        <v>26</v>
      </c>
      <c r="N11" s="4" t="s">
        <v>26</v>
      </c>
      <c r="O11" s="2" cm="1">
        <f t="array" ref="O11">IFERROR(_xlfn.XLOOKUP(M11,[1]!Tabela3[[#All],[VENDEDOR]],INDEX([1]!Tabela3[#All],0,MATCH($O$9,[1]!Tabela3[#Headers],0))),0)</f>
        <v>0</v>
      </c>
      <c r="P11" s="2">
        <f>IFERROR(GETPIVOTDATA("[Measures].[Soma de TOTAL 3]",'[1]BASE PYTHON'!$P$32,"[Intervalo 2].[REGIAO]","[Intervalo 2].[REGIAO].&amp;["&amp;N11&amp;"]","[Intervalo 2].[SEMANA]","[Intervalo 2].[SEMANA].&amp;["&amp;RIGHT($O$9,1)&amp;"]"),0)</f>
        <v>0</v>
      </c>
      <c r="Q11" s="2">
        <f>Tabela8[[#This Row],[COMPROMISSO]]-Tabela8[[#This Row],[ATINGIDO]]</f>
        <v>0</v>
      </c>
      <c r="R11" s="2"/>
      <c r="S11" s="17" t="s">
        <v>8</v>
      </c>
      <c r="T11" s="17" t="s">
        <v>8</v>
      </c>
      <c r="U11" s="17">
        <f>_xlfn.XLOOKUP(Tabela2[[#This Row],[REFERENCIA]],'[1]BASE PYTHON'!$A$63:$A$79,'[1]BASE PYTHON'!$B$63:$B$79)</f>
        <v>35</v>
      </c>
      <c r="V11" s="17">
        <f ca="1">IFERROR(VLOOKUP(Tabela2[[#This Row],[REFERENCIA]],'[1]BASE PYTHON'!$K:$N,'[1]BASE PYTHON'!L$1,0),0)</f>
        <v>0</v>
      </c>
      <c r="W11" s="17">
        <f t="shared" ref="W11:W20" ca="1" si="0">U11-V11</f>
        <v>35</v>
      </c>
      <c r="Y11" s="32" t="s">
        <v>12</v>
      </c>
      <c r="Z11" s="30">
        <f>_xlfn.XLOOKUP(Tabela17[[#This Row],[VENDEDOR]],[1]!Tabela4[VENDEDOR],[1]!Tabela4[META A])</f>
        <v>0</v>
      </c>
      <c r="AA11" s="28">
        <f>_xlfn.XLOOKUP(Tabela17[[#This Row],[VENDEDOR]],[1]!Tabela4[VENDEDOR],[1]!Tabela4[META B])</f>
        <v>0</v>
      </c>
      <c r="AB11" s="28">
        <f>_xlfn.XLOOKUP(Tabela17[[#This Row],[VENDEDOR]],[1]!Tabela4[VENDEDOR],[1]!Tabela4[META C])</f>
        <v>0</v>
      </c>
      <c r="AC11" s="28">
        <f>_xlfn.XLOOKUP(Tabela17[[#This Row],[VENDEDOR]],[1]!Tabela4[VENDEDOR],[1]!Tabela4[META D])</f>
        <v>0</v>
      </c>
      <c r="AD11" s="29">
        <f>IFERROR(_xlfn.XLOOKUP(Y11,'[1]BASE PYTHON'!$K:$K,'[1]BASE PYTHON'!$N:$N,0),0)</f>
        <v>0</v>
      </c>
      <c r="AE11" s="29" t="str" cm="1">
        <f t="array" ref="AE11">_xlfn.IFS(AD11&gt;=Z11,"A",AD11&gt;=AA11,"B",AD11&gt;=AB11,"C",AD11&gt;=AC11,"D",TRUE,"NÃO ATINGIDO")</f>
        <v>A</v>
      </c>
      <c r="AF11" s="29" t="str" cm="1">
        <f t="array" ref="AF11">_xlfn.IFS(AE11="NÃO ATINGIDO","D",AE11="D","C",AE11="C","B",AE11="B","A",AE11="A","OBJETIVO ALCANÇADO")</f>
        <v>OBJETIVO ALCANÇADO</v>
      </c>
      <c r="AG11" s="29" cm="1">
        <f t="array" ref="AG11">_xlfn.IFS(AF11="D",MAX(AC11-AD11,0),AF11="C",MAX(AB11-AD11,0),AF11="B",MAX(AA11-AD11,0),AF11="A",MAX(Z11-AD11,0),AF11="OBJETIVO ALCANÇADO",0)</f>
        <v>0</v>
      </c>
      <c r="AI11" t="s">
        <v>12</v>
      </c>
      <c r="AJ11" s="24">
        <f>_xlfn.XLOOKUP(Tabela817[[#This Row],[VENDEDOR]],[1]!Tabela8[VENDEDOR],[1]!Tabela8[META A])</f>
        <v>0</v>
      </c>
      <c r="AK11" s="24">
        <f>_xlfn.XLOOKUP(Tabela817[[#This Row],[VENDEDOR]],[1]!Tabela8[VENDEDOR],[1]!Tabela8[META B])</f>
        <v>0</v>
      </c>
      <c r="AL11" s="24">
        <f>_xlfn.XLOOKUP(Tabela817[[#This Row],[VENDEDOR]],[1]!Tabela8[VENDEDOR],[1]!Tabela8[META C])</f>
        <v>0</v>
      </c>
      <c r="AM11" s="24">
        <f>_xlfn.XLOOKUP(Tabela817[[#This Row],[VENDEDOR]],[1]!Tabela8[VENDEDOR],[1]!Tabela8[META D])</f>
        <v>0</v>
      </c>
      <c r="AN11" s="25">
        <f>IFERROR(_xlfn.XLOOKUP(AI11,'[1]BASE PYTHON'!$E:$E,'[1]BASE PYTHON'!$F:$F,0),0)</f>
        <v>0</v>
      </c>
      <c r="AO11" s="26" t="str" cm="1">
        <f t="array" ref="AO11">_xlfn.IFS(AN11&gt;=AJ11,"A",AN11&gt;=AK11,"B",AN11&gt;=AL11,"C",AN11&gt;=AM11,"D",TRUE,"NÃO ATINGIDO")</f>
        <v>A</v>
      </c>
      <c r="AP11" s="26" t="str" cm="1">
        <f t="array" ref="AP11">_xlfn.IFS(AO11="NÃO ATINGIDO","D",AO11="D","C",AO11="C","B",AO11="B","A",AO11="A","OBJETIVO ALCANÇADO")</f>
        <v>OBJETIVO ALCANÇADO</v>
      </c>
      <c r="AQ11" s="25" cm="1">
        <f t="array" ref="AQ11">_xlfn.IFS(AP11="D",MAX(AM11-AN11,0),AP11="C",MAX(AL11-AN11,0),AP11="B",MAX(AK11-AN11,0),AP11="A",MAX(AJ11-AN11,0),AP11="OBJETIVO ALCANÇADO",0)</f>
        <v>0</v>
      </c>
    </row>
    <row r="12" spans="1:43" x14ac:dyDescent="0.25">
      <c r="A12" s="42" t="s">
        <v>51</v>
      </c>
      <c r="B12" s="42" t="s">
        <v>51</v>
      </c>
      <c r="C12" s="22">
        <f>_xlfn.XLOOKUP(Tabela13[[#This Row],[REFERENCIA]],[1]!Tabela2[VENDEDOR],[1]!Tabela2[META A],0)</f>
        <v>0</v>
      </c>
      <c r="D12" s="22">
        <f>_xlfn.XLOOKUP(Tabela13[[#This Row],[REFERENCIA]],'[1]BASE PYTHON'!$E:$E,'[1]BASE PYTHON'!$F:$F,0)</f>
        <v>0</v>
      </c>
      <c r="E12" s="43">
        <f>Tabela13[[#This Row],[META A]]-Tabela13[[#This Row],[ATINGIDO]]</f>
        <v>0</v>
      </c>
      <c r="F12" s="4"/>
      <c r="G12" s="18" t="s">
        <v>19</v>
      </c>
      <c r="H12" s="18" t="s">
        <v>19</v>
      </c>
      <c r="I12" s="19">
        <f>_xlfn.XLOOKUP(Tabela5[[#This Row],[REFERENCIA]],'[1]BASE PYTHON'!$A$39:$A$55,'[1]BASE PYTHON'!$B$39:$B$55,0)</f>
        <v>14810</v>
      </c>
      <c r="J12" s="19">
        <f>_xlfn.XLOOKUP(Tabela5[[#This Row],[REFERENCIA]],'[1]BASE PYTHON'!$H:$H,'[1]BASE PYTHON'!$I:$I,0)</f>
        <v>107918.3099999995</v>
      </c>
      <c r="K12" s="20">
        <f>Tabela5[[#This Row],[COMPROMISSO]]-Tabela5[[#This Row],[ATINGIDO]]</f>
        <v>-93108.309999999503</v>
      </c>
      <c r="L12" s="4"/>
      <c r="M12" s="4" t="s">
        <v>40</v>
      </c>
      <c r="N12" s="4" t="s">
        <v>27</v>
      </c>
      <c r="O12" s="2" cm="1">
        <f t="array" ref="O12">IFERROR(_xlfn.XLOOKUP(M12,[1]!Tabela3[[#All],[VENDEDOR]],INDEX([1]!Tabela3[#All],0,MATCH($O$9,[1]!Tabela3[#Headers],0))),0)</f>
        <v>0</v>
      </c>
      <c r="P12" s="2">
        <f>IFERROR(GETPIVOTDATA("[Measures].[Soma de TOTAL 3]",'[1]BASE PYTHON'!$P$32,"[Intervalo 2].[REGIAO]","[Intervalo 2].[REGIAO].&amp;["&amp;N12&amp;"]","[Intervalo 2].[SEMANA]","[Intervalo 2].[SEMANA].&amp;["&amp;RIGHT($O$9,1)&amp;"]"),0)</f>
        <v>0</v>
      </c>
      <c r="Q12" s="2">
        <f>Tabela8[[#This Row],[COMPROMISSO]]-Tabela8[[#This Row],[ATINGIDO]]</f>
        <v>0</v>
      </c>
      <c r="R12" s="2"/>
      <c r="S12" s="17" t="s">
        <v>9</v>
      </c>
      <c r="T12" s="17" t="s">
        <v>9</v>
      </c>
      <c r="U12" s="17">
        <f>_xlfn.XLOOKUP(Tabela2[[#This Row],[REFERENCIA]],'[1]BASE PYTHON'!$A$63:$A$79,'[1]BASE PYTHON'!$B$63:$B$79)</f>
        <v>35</v>
      </c>
      <c r="V12" s="17">
        <f ca="1">IFERROR(VLOOKUP(Tabela2[[#This Row],[REFERENCIA]],'[1]BASE PYTHON'!$K:$N,'[1]BASE PYTHON'!L$1,0),0)</f>
        <v>0</v>
      </c>
      <c r="W12" s="17">
        <f t="shared" ca="1" si="0"/>
        <v>35</v>
      </c>
      <c r="Y12" s="33" t="s">
        <v>23</v>
      </c>
      <c r="Z12" s="30">
        <f>_xlfn.XLOOKUP(Tabela17[[#This Row],[VENDEDOR]],[1]!Tabela4[VENDEDOR],[1]!Tabela4[META A])</f>
        <v>35</v>
      </c>
      <c r="AA12" s="30">
        <f>_xlfn.XLOOKUP(Tabela17[[#This Row],[VENDEDOR]],[1]!Tabela4[VENDEDOR],[1]!Tabela4[META B])</f>
        <v>30</v>
      </c>
      <c r="AB12" s="30">
        <f>_xlfn.XLOOKUP(Tabela17[[#This Row],[VENDEDOR]],[1]!Tabela4[VENDEDOR],[1]!Tabela4[META C])</f>
        <v>24.5</v>
      </c>
      <c r="AC12" s="30">
        <f>_xlfn.XLOOKUP(Tabela17[[#This Row],[VENDEDOR]],[1]!Tabela4[VENDEDOR],[1]!Tabela4[META D])</f>
        <v>14</v>
      </c>
      <c r="AD12" s="31">
        <f>IFERROR(_xlfn.XLOOKUP(Y12,'[1]BASE PYTHON'!$K:$K,'[1]BASE PYTHON'!$N:$N,0),0)</f>
        <v>0</v>
      </c>
      <c r="AE12" s="31" t="str" cm="1">
        <f t="array" ref="AE12">_xlfn.IFS(AD12&gt;=Z12,"A",AD12&gt;=AA12,"B",AD12&gt;=AB12,"C",AD12&gt;=AC12,"D",TRUE,"NÃO ATINGIDO")</f>
        <v>NÃO ATINGIDO</v>
      </c>
      <c r="AF12" s="31" t="str" cm="1">
        <f t="array" ref="AF12">_xlfn.IFS(AE12="NÃO ATINGIDO","D",AE12="D","C",AE12="C","B",AE12="B","A",AE12="A","OBJETIVO ALCANÇADO")</f>
        <v>D</v>
      </c>
      <c r="AG12" s="31" cm="1">
        <f t="array" ref="AG12">_xlfn.IFS(AF12="D",MAX(AC12-AD12,0),AF12="C",MAX(AB12-AD12,0),AF12="B",MAX(AA12-AD12,0),AF12="A",MAX(Z12-AD12,0),AF12="OBJETIVO ALCANÇADO",0)</f>
        <v>14</v>
      </c>
      <c r="AI12" t="s">
        <v>23</v>
      </c>
      <c r="AJ12" s="24">
        <f>_xlfn.XLOOKUP(Tabela817[[#This Row],[VENDEDOR]],[1]!Tabela8[VENDEDOR],[1]!Tabela8[META A])</f>
        <v>58000</v>
      </c>
      <c r="AK12" s="24">
        <f>_xlfn.XLOOKUP(Tabela817[[#This Row],[VENDEDOR]],[1]!Tabela8[VENDEDOR],[1]!Tabela8[META B])</f>
        <v>49300</v>
      </c>
      <c r="AL12" s="24">
        <f>_xlfn.XLOOKUP(Tabela817[[#This Row],[VENDEDOR]],[1]!Tabela8[VENDEDOR],[1]!Tabela8[META C])</f>
        <v>40600</v>
      </c>
      <c r="AM12" s="24">
        <f>_xlfn.XLOOKUP(Tabela817[[#This Row],[VENDEDOR]],[1]!Tabela8[VENDEDOR],[1]!Tabela8[META D])</f>
        <v>26100</v>
      </c>
      <c r="AN12" s="25">
        <f>IFERROR(_xlfn.XLOOKUP(AI12,'[1]BASE PYTHON'!$E:$E,'[1]BASE PYTHON'!$F:$F,0),0)</f>
        <v>39507.460000000057</v>
      </c>
      <c r="AO12" s="26" t="str" cm="1">
        <f t="array" ref="AO12">_xlfn.IFS(AN12&gt;=AJ12,"A",AN12&gt;=AK12,"B",AN12&gt;=AL12,"C",AN12&gt;=AM12,"D",TRUE,"NÃO ATINGIDO")</f>
        <v>D</v>
      </c>
      <c r="AP12" s="26" t="str" cm="1">
        <f t="array" ref="AP12">_xlfn.IFS(AO12="NÃO ATINGIDO","D",AO12="D","C",AO12="C","B",AO12="B","A",AO12="A","OBJETIVO ALCANÇADO")</f>
        <v>C</v>
      </c>
      <c r="AQ12" s="25" cm="1">
        <f t="array" ref="AQ12">_xlfn.IFS(AP12="D",MAX(AM12-AN12,0),AP12="C",MAX(AL12-AN12,0),AP12="B",MAX(AK12-AN12,0),AP12="A",MAX(AJ12-AN12,0),AP12="OBJETIVO ALCANÇADO",0)</f>
        <v>1092.5399999999427</v>
      </c>
    </row>
    <row r="13" spans="1:43" x14ac:dyDescent="0.25">
      <c r="A13" s="42" t="s">
        <v>9</v>
      </c>
      <c r="B13" s="42" t="s">
        <v>9</v>
      </c>
      <c r="C13" s="22">
        <f>_xlfn.XLOOKUP(Tabela13[[#This Row],[REFERENCIA]],[1]!Tabela2[VENDEDOR],[1]!Tabela2[META A],0)</f>
        <v>96000</v>
      </c>
      <c r="D13" s="22">
        <f>_xlfn.XLOOKUP(Tabela13[[#This Row],[REFERENCIA]],'[1]BASE PYTHON'!$E:$E,'[1]BASE PYTHON'!$F:$F,0)</f>
        <v>62260.590000000026</v>
      </c>
      <c r="E13" s="43">
        <f>Tabela13[[#This Row],[META A]]-Tabela13[[#This Row],[ATINGIDO]]</f>
        <v>33739.409999999974</v>
      </c>
      <c r="F13" s="4"/>
      <c r="G13" s="18" t="s">
        <v>21</v>
      </c>
      <c r="H13" s="18" t="s">
        <v>21</v>
      </c>
      <c r="I13" s="19">
        <f>_xlfn.XLOOKUP(Tabela5[[#This Row],[REFERENCIA]],'[1]BASE PYTHON'!$A$39:$A$55,'[1]BASE PYTHON'!$B$39:$B$55,0)</f>
        <v>25000</v>
      </c>
      <c r="J13" s="19">
        <f>_xlfn.XLOOKUP(Tabela5[[#This Row],[REFERENCIA]],'[1]BASE PYTHON'!$H:$H,'[1]BASE PYTHON'!$I:$I,0)</f>
        <v>215409.78999999963</v>
      </c>
      <c r="K13" s="20">
        <f>Tabela5[[#This Row],[COMPROMISSO]]-Tabela5[[#This Row],[ATINGIDO]]</f>
        <v>-190409.78999999963</v>
      </c>
      <c r="L13" s="4"/>
      <c r="M13" s="4" t="s">
        <v>28</v>
      </c>
      <c r="N13" s="4" t="s">
        <v>28</v>
      </c>
      <c r="O13" s="2" cm="1">
        <f t="array" ref="O13">IFERROR(_xlfn.XLOOKUP(M13,[1]!Tabela3[[#All],[VENDEDOR]],INDEX([1]!Tabela3[#All],0,MATCH($O$9,[1]!Tabela3[#Headers],0))),0)</f>
        <v>0</v>
      </c>
      <c r="P13" s="2">
        <f>IFERROR(GETPIVOTDATA("[Measures].[Soma de TOTAL 3]",'[1]BASE PYTHON'!$P$32,"[Intervalo 2].[REGIAO]","[Intervalo 2].[REGIAO].&amp;["&amp;N13&amp;"]","[Intervalo 2].[SEMANA]","[Intervalo 2].[SEMANA].&amp;["&amp;RIGHT($O$9,1)&amp;"]"),0)</f>
        <v>0</v>
      </c>
      <c r="Q13" s="2">
        <f>Tabela8[[#This Row],[COMPROMISSO]]-Tabela8[[#This Row],[ATINGIDO]]</f>
        <v>0</v>
      </c>
      <c r="R13" s="2"/>
      <c r="S13" s="17" t="s">
        <v>10</v>
      </c>
      <c r="T13" s="17" t="s">
        <v>10</v>
      </c>
      <c r="U13" s="17">
        <f>_xlfn.XLOOKUP(Tabela2[[#This Row],[REFERENCIA]],'[1]BASE PYTHON'!$A$63:$A$79,'[1]BASE PYTHON'!$B$63:$B$79)</f>
        <v>35</v>
      </c>
      <c r="V13" s="17">
        <f ca="1">IFERROR(VLOOKUP(Tabela2[[#This Row],[REFERENCIA]],'[1]BASE PYTHON'!$K:$N,'[1]BASE PYTHON'!L$1,0),0)</f>
        <v>0</v>
      </c>
      <c r="W13" s="17">
        <f t="shared" ca="1" si="0"/>
        <v>35</v>
      </c>
      <c r="Y13" s="32" t="s">
        <v>9</v>
      </c>
      <c r="Z13" s="30">
        <f>_xlfn.XLOOKUP(Tabela17[[#This Row],[VENDEDOR]],[1]!Tabela4[VENDEDOR],[1]!Tabela4[META A])</f>
        <v>35</v>
      </c>
      <c r="AA13" s="28">
        <f>_xlfn.XLOOKUP(Tabela17[[#This Row],[VENDEDOR]],[1]!Tabela4[VENDEDOR],[1]!Tabela4[META B])</f>
        <v>30</v>
      </c>
      <c r="AB13" s="28">
        <f>_xlfn.XLOOKUP(Tabela17[[#This Row],[VENDEDOR]],[1]!Tabela4[VENDEDOR],[1]!Tabela4[META C])</f>
        <v>24.5</v>
      </c>
      <c r="AC13" s="28">
        <f>_xlfn.XLOOKUP(Tabela17[[#This Row],[VENDEDOR]],[1]!Tabela4[VENDEDOR],[1]!Tabela4[META D])</f>
        <v>14</v>
      </c>
      <c r="AD13" s="29">
        <f>IFERROR(_xlfn.XLOOKUP(Y13,'[1]BASE PYTHON'!$K:$K,'[1]BASE PYTHON'!$N:$N,0),0)</f>
        <v>0</v>
      </c>
      <c r="AE13" s="29" t="str" cm="1">
        <f t="array" ref="AE13">_xlfn.IFS(AD13&gt;=Z13,"A",AD13&gt;=AA13,"B",AD13&gt;=AB13,"C",AD13&gt;=AC13,"D",TRUE,"NÃO ATINGIDO")</f>
        <v>NÃO ATINGIDO</v>
      </c>
      <c r="AF13" s="29" t="str" cm="1">
        <f t="array" ref="AF13">_xlfn.IFS(AE13="NÃO ATINGIDO","D",AE13="D","C",AE13="C","B",AE13="B","A",AE13="A","OBJETIVO ALCANÇADO")</f>
        <v>D</v>
      </c>
      <c r="AG13" s="29" cm="1">
        <f t="array" ref="AG13">_xlfn.IFS(AF13="D",MAX(AC13-AD13,0),AF13="C",MAX(AB13-AD13,0),AF13="B",MAX(AA13-AD13,0),AF13="A",MAX(Z13-AD13,0),AF13="OBJETIVO ALCANÇADO",0)</f>
        <v>14</v>
      </c>
      <c r="AI13" t="s">
        <v>9</v>
      </c>
      <c r="AJ13" s="24">
        <f>_xlfn.XLOOKUP(Tabela817[[#This Row],[VENDEDOR]],[1]!Tabela8[VENDEDOR],[1]!Tabela8[META A])</f>
        <v>96000</v>
      </c>
      <c r="AK13" s="24">
        <f>_xlfn.XLOOKUP(Tabela817[[#This Row],[VENDEDOR]],[1]!Tabela8[VENDEDOR],[1]!Tabela8[META B])</f>
        <v>81600</v>
      </c>
      <c r="AL13" s="24">
        <f>_xlfn.XLOOKUP(Tabela817[[#This Row],[VENDEDOR]],[1]!Tabela8[VENDEDOR],[1]!Tabela8[META C])</f>
        <v>67200</v>
      </c>
      <c r="AM13" s="24">
        <f>_xlfn.XLOOKUP(Tabela817[[#This Row],[VENDEDOR]],[1]!Tabela8[VENDEDOR],[1]!Tabela8[META D])</f>
        <v>43200</v>
      </c>
      <c r="AN13" s="25">
        <f>IFERROR(_xlfn.XLOOKUP(AI13,'[1]BASE PYTHON'!$E:$E,'[1]BASE PYTHON'!$F:$F,0),0)</f>
        <v>62260.590000000026</v>
      </c>
      <c r="AO13" s="26" t="str" cm="1">
        <f t="array" ref="AO13">_xlfn.IFS(AN13&gt;=AJ13,"A",AN13&gt;=AK13,"B",AN13&gt;=AL13,"C",AN13&gt;=AM13,"D",TRUE,"NÃO ATINGIDO")</f>
        <v>D</v>
      </c>
      <c r="AP13" s="26" t="str" cm="1">
        <f t="array" ref="AP13">_xlfn.IFS(AO13="NÃO ATINGIDO","D",AO13="D","C",AO13="C","B",AO13="B","A",AO13="A","OBJETIVO ALCANÇADO")</f>
        <v>C</v>
      </c>
      <c r="AQ13" s="25" cm="1">
        <f t="array" ref="AQ13">_xlfn.IFS(AP13="D",MAX(AM13-AN13,0),AP13="C",MAX(AL13-AN13,0),AP13="B",MAX(AK13-AN13,0),AP13="A",MAX(AJ13-AN13,0),AP13="OBJETIVO ALCANÇADO",0)</f>
        <v>4939.4099999999744</v>
      </c>
    </row>
    <row r="14" spans="1:43" x14ac:dyDescent="0.25">
      <c r="A14" s="42" t="s">
        <v>10</v>
      </c>
      <c r="B14" s="42" t="s">
        <v>10</v>
      </c>
      <c r="C14" s="22">
        <f>_xlfn.XLOOKUP(Tabela13[[#This Row],[REFERENCIA]],[1]!Tabela2[VENDEDOR],[1]!Tabela2[META A],0)</f>
        <v>281000</v>
      </c>
      <c r="D14" s="22">
        <f>_xlfn.XLOOKUP(Tabela13[[#This Row],[REFERENCIA]],'[1]BASE PYTHON'!$E:$E,'[1]BASE PYTHON'!$F:$F,0)</f>
        <v>203747.14999999964</v>
      </c>
      <c r="E14" s="43">
        <f>Tabela13[[#This Row],[META A]]-Tabela13[[#This Row],[ATINGIDO]]</f>
        <v>77252.850000000355</v>
      </c>
      <c r="F14" s="4"/>
      <c r="G14" s="18" t="s">
        <v>15</v>
      </c>
      <c r="H14" s="18" t="s">
        <v>43</v>
      </c>
      <c r="I14" s="19">
        <f>_xlfn.XLOOKUP(Tabela5[[#This Row],[REFERENCIA]],'[1]BASE PYTHON'!$A$39:$A$55,'[1]BASE PYTHON'!$B$39:$B$55,0)</f>
        <v>20630</v>
      </c>
      <c r="J14" s="19">
        <f>_xlfn.XLOOKUP(Tabela5[[#This Row],[REFERENCIA]],'[1]BASE PYTHON'!$H:$H,'[1]BASE PYTHON'!$I:$I,0)</f>
        <v>122031.32999999971</v>
      </c>
      <c r="K14" s="20">
        <f>Tabela5[[#This Row],[COMPROMISSO]]-Tabela5[[#This Row],[ATINGIDO]]</f>
        <v>-101401.32999999971</v>
      </c>
      <c r="L14" s="4"/>
      <c r="M14" s="4" t="s">
        <v>29</v>
      </c>
      <c r="N14" s="4" t="s">
        <v>29</v>
      </c>
      <c r="O14" s="2" cm="1">
        <f t="array" ref="O14">IFERROR(_xlfn.XLOOKUP(M14,[1]!Tabela3[[#All],[VENDEDOR]],INDEX([1]!Tabela3[#All],0,MATCH($O$9,[1]!Tabela3[#Headers],0))),0)</f>
        <v>0</v>
      </c>
      <c r="P14" s="2">
        <f>IFERROR(GETPIVOTDATA("[Measures].[Soma de TOTAL 3]",'[1]BASE PYTHON'!$P$32,"[Intervalo 2].[REGIAO]","[Intervalo 2].[REGIAO].&amp;["&amp;N14&amp;"]","[Intervalo 2].[SEMANA]","[Intervalo 2].[SEMANA].&amp;["&amp;RIGHT($O$9,1)&amp;"]"),0)</f>
        <v>0</v>
      </c>
      <c r="Q14" s="2">
        <f>Tabela8[[#This Row],[COMPROMISSO]]-Tabela8[[#This Row],[ATINGIDO]]</f>
        <v>0</v>
      </c>
      <c r="R14" s="2"/>
      <c r="S14" s="17" t="s">
        <v>11</v>
      </c>
      <c r="T14" s="17" t="s">
        <v>11</v>
      </c>
      <c r="U14" s="17">
        <f>_xlfn.XLOOKUP(Tabela2[[#This Row],[REFERENCIA]],'[1]BASE PYTHON'!$A$63:$A$79,'[1]BASE PYTHON'!$B$63:$B$79)</f>
        <v>35</v>
      </c>
      <c r="V14" s="17">
        <f ca="1">IFERROR(VLOOKUP(Tabela2[[#This Row],[REFERENCIA]],'[1]BASE PYTHON'!$K:$N,'[1]BASE PYTHON'!L$1,0),0)</f>
        <v>0</v>
      </c>
      <c r="W14" s="17">
        <f t="shared" ca="1" si="0"/>
        <v>35</v>
      </c>
      <c r="Y14" s="33" t="s">
        <v>7</v>
      </c>
      <c r="Z14" s="30">
        <f>_xlfn.XLOOKUP(Tabela17[[#This Row],[VENDEDOR]],[1]!Tabela4[VENDEDOR],[1]!Tabela4[META A])</f>
        <v>35</v>
      </c>
      <c r="AA14" s="30">
        <f>_xlfn.XLOOKUP(Tabela17[[#This Row],[VENDEDOR]],[1]!Tabela4[VENDEDOR],[1]!Tabela4[META B])</f>
        <v>30</v>
      </c>
      <c r="AB14" s="30">
        <f>_xlfn.XLOOKUP(Tabela17[[#This Row],[VENDEDOR]],[1]!Tabela4[VENDEDOR],[1]!Tabela4[META C])</f>
        <v>24.5</v>
      </c>
      <c r="AC14" s="30">
        <f>_xlfn.XLOOKUP(Tabela17[[#This Row],[VENDEDOR]],[1]!Tabela4[VENDEDOR],[1]!Tabela4[META D])</f>
        <v>14</v>
      </c>
      <c r="AD14" s="31">
        <f>IFERROR(_xlfn.XLOOKUP(Y14,'[1]BASE PYTHON'!$K:$K,'[1]BASE PYTHON'!$N:$N,0),0)</f>
        <v>0</v>
      </c>
      <c r="AE14" s="31" t="str" cm="1">
        <f t="array" ref="AE14">_xlfn.IFS(AD14&gt;=Z14,"A",AD14&gt;=AA14,"B",AD14&gt;=AB14,"C",AD14&gt;=AC14,"D",TRUE,"NÃO ATINGIDO")</f>
        <v>NÃO ATINGIDO</v>
      </c>
      <c r="AF14" s="31" t="str" cm="1">
        <f t="array" ref="AF14">_xlfn.IFS(AE14="NÃO ATINGIDO","D",AE14="D","C",AE14="C","B",AE14="B","A",AE14="A","OBJETIVO ALCANÇADO")</f>
        <v>D</v>
      </c>
      <c r="AG14" s="31" cm="1">
        <f t="array" ref="AG14">_xlfn.IFS(AF14="D",MAX(AC14-AD14,0),AF14="C",MAX(AB14-AD14,0),AF14="B",MAX(AA14-AD14,0),AF14="A",MAX(Z14-AD14,0),AF14="OBJETIVO ALCANÇADO",0)</f>
        <v>14</v>
      </c>
      <c r="AI14" t="s">
        <v>7</v>
      </c>
      <c r="AJ14" s="24">
        <f>_xlfn.XLOOKUP(Tabela817[[#This Row],[VENDEDOR]],[1]!Tabela8[VENDEDOR],[1]!Tabela8[META A])</f>
        <v>70500</v>
      </c>
      <c r="AK14" s="24">
        <f>_xlfn.XLOOKUP(Tabela817[[#This Row],[VENDEDOR]],[1]!Tabela8[VENDEDOR],[1]!Tabela8[META B])</f>
        <v>59925</v>
      </c>
      <c r="AL14" s="24">
        <f>_xlfn.XLOOKUP(Tabela817[[#This Row],[VENDEDOR]],[1]!Tabela8[VENDEDOR],[1]!Tabela8[META C])</f>
        <v>49350</v>
      </c>
      <c r="AM14" s="24">
        <f>_xlfn.XLOOKUP(Tabela817[[#This Row],[VENDEDOR]],[1]!Tabela8[VENDEDOR],[1]!Tabela8[META D])</f>
        <v>31725</v>
      </c>
      <c r="AN14" s="25">
        <f>IFERROR(_xlfn.XLOOKUP(AI14,'[1]BASE PYTHON'!$E:$E,'[1]BASE PYTHON'!$F:$F,0),0)</f>
        <v>48786.559999999998</v>
      </c>
      <c r="AO14" s="26" t="str" cm="1">
        <f t="array" ref="AO14">_xlfn.IFS(AN14&gt;=AJ14,"A",AN14&gt;=AK14,"B",AN14&gt;=AL14,"C",AN14&gt;=AM14,"D",TRUE,"NÃO ATINGIDO")</f>
        <v>D</v>
      </c>
      <c r="AP14" s="26" t="str" cm="1">
        <f t="array" ref="AP14">_xlfn.IFS(AO14="NÃO ATINGIDO","D",AO14="D","C",AO14="C","B",AO14="B","A",AO14="A","OBJETIVO ALCANÇADO")</f>
        <v>C</v>
      </c>
      <c r="AQ14" s="25" cm="1">
        <f t="array" ref="AQ14">_xlfn.IFS(AP14="D",MAX(AM14-AN14,0),AP14="C",MAX(AL14-AN14,0),AP14="B",MAX(AK14-AN14,0),AP14="A",MAX(AJ14-AN14,0),AP14="OBJETIVO ALCANÇADO",0)</f>
        <v>563.44000000000233</v>
      </c>
    </row>
    <row r="15" spans="1:43" x14ac:dyDescent="0.25">
      <c r="A15" s="42" t="s">
        <v>11</v>
      </c>
      <c r="B15" s="42" t="s">
        <v>11</v>
      </c>
      <c r="C15" s="22">
        <f>_xlfn.XLOOKUP(Tabela13[[#This Row],[REFERENCIA]],[1]!Tabela2[VENDEDOR],[1]!Tabela2[META A],0)</f>
        <v>84000</v>
      </c>
      <c r="D15" s="22">
        <f>_xlfn.XLOOKUP(Tabela13[[#This Row],[REFERENCIA]],'[1]BASE PYTHON'!$E:$E,'[1]BASE PYTHON'!$F:$F,0)</f>
        <v>71931.839999999822</v>
      </c>
      <c r="E15" s="43">
        <f>Tabela13[[#This Row],[META A]]-Tabela13[[#This Row],[ATINGIDO]]</f>
        <v>12068.160000000178</v>
      </c>
      <c r="F15" s="4"/>
      <c r="G15" s="18" t="s">
        <v>8</v>
      </c>
      <c r="H15" s="18" t="s">
        <v>8</v>
      </c>
      <c r="I15" s="19">
        <f>_xlfn.XLOOKUP(Tabela5[[#This Row],[REFERENCIA]],'[1]BASE PYTHON'!$A$39:$A$55,'[1]BASE PYTHON'!$B$39:$B$55,0)</f>
        <v>32000</v>
      </c>
      <c r="J15" s="19">
        <f>_xlfn.XLOOKUP(Tabela5[[#This Row],[REFERENCIA]],'[1]BASE PYTHON'!$H:$H,'[1]BASE PYTHON'!$I:$I,0)</f>
        <v>272619.34999999963</v>
      </c>
      <c r="K15" s="20">
        <f>Tabela5[[#This Row],[COMPROMISSO]]-Tabela5[[#This Row],[ATINGIDO]]</f>
        <v>-240619.34999999963</v>
      </c>
      <c r="L15" s="4"/>
      <c r="M15" s="4" t="s">
        <v>30</v>
      </c>
      <c r="N15" s="4" t="s">
        <v>30</v>
      </c>
      <c r="O15" s="2" cm="1">
        <f t="array" ref="O15">IFERROR(_xlfn.XLOOKUP(M15,[1]!Tabela3[[#All],[VENDEDOR]],INDEX([1]!Tabela3[#All],0,MATCH($O$9,[1]!Tabela3[#Headers],0))),0)</f>
        <v>0</v>
      </c>
      <c r="P15" s="2">
        <f>IFERROR(GETPIVOTDATA("[Measures].[Soma de TOTAL 3]",'[1]BASE PYTHON'!$P$32,"[Intervalo 2].[REGIAO]","[Intervalo 2].[REGIAO].&amp;["&amp;N15&amp;"]","[Intervalo 2].[SEMANA]","[Intervalo 2].[SEMANA].&amp;["&amp;RIGHT($O$9,1)&amp;"]"),0)</f>
        <v>0</v>
      </c>
      <c r="Q15" s="2">
        <f>Tabela8[[#This Row],[COMPROMISSO]]-Tabela8[[#This Row],[ATINGIDO]]</f>
        <v>0</v>
      </c>
      <c r="R15" s="2"/>
      <c r="S15" s="17" t="s">
        <v>12</v>
      </c>
      <c r="T15" s="17" t="s">
        <v>12</v>
      </c>
      <c r="U15" s="17">
        <f>_xlfn.XLOOKUP(Tabela2[[#This Row],[REFERENCIA]],'[1]BASE PYTHON'!$A$63:$A$79,'[1]BASE PYTHON'!$B$63:$B$79)</f>
        <v>0</v>
      </c>
      <c r="V15" s="17">
        <f>IFERROR(VLOOKUP(Tabela2[[#This Row],[REFERENCIA]],'[1]BASE PYTHON'!$K:$N,'[1]BASE PYTHON'!L$1,0),0)</f>
        <v>0</v>
      </c>
      <c r="W15" s="17">
        <f>U15-V15</f>
        <v>0</v>
      </c>
      <c r="Y15" s="32" t="s">
        <v>11</v>
      </c>
      <c r="Z15" s="30">
        <f>_xlfn.XLOOKUP(Tabela17[[#This Row],[VENDEDOR]],[1]!Tabela4[VENDEDOR],[1]!Tabela4[META A])</f>
        <v>35</v>
      </c>
      <c r="AA15" s="28">
        <f>_xlfn.XLOOKUP(Tabela17[[#This Row],[VENDEDOR]],[1]!Tabela4[VENDEDOR],[1]!Tabela4[META B])</f>
        <v>30</v>
      </c>
      <c r="AB15" s="28">
        <f>_xlfn.XLOOKUP(Tabela17[[#This Row],[VENDEDOR]],[1]!Tabela4[VENDEDOR],[1]!Tabela4[META C])</f>
        <v>24.5</v>
      </c>
      <c r="AC15" s="28">
        <f>_xlfn.XLOOKUP(Tabela17[[#This Row],[VENDEDOR]],[1]!Tabela4[VENDEDOR],[1]!Tabela4[META D])</f>
        <v>14</v>
      </c>
      <c r="AD15" s="29">
        <f>IFERROR(_xlfn.XLOOKUP(Y15,'[1]BASE PYTHON'!$K:$K,'[1]BASE PYTHON'!$N:$N,0),0)</f>
        <v>0</v>
      </c>
      <c r="AE15" s="29" t="str" cm="1">
        <f t="array" ref="AE15">_xlfn.IFS(AD15&gt;=Z15,"A",AD15&gt;=AA15,"B",AD15&gt;=AB15,"C",AD15&gt;=AC15,"D",TRUE,"NÃO ATINGIDO")</f>
        <v>NÃO ATINGIDO</v>
      </c>
      <c r="AF15" s="29" t="str" cm="1">
        <f t="array" ref="AF15">_xlfn.IFS(AE15="NÃO ATINGIDO","D",AE15="D","C",AE15="C","B",AE15="B","A",AE15="A","OBJETIVO ALCANÇADO")</f>
        <v>D</v>
      </c>
      <c r="AG15" s="29" cm="1">
        <f t="array" ref="AG15">_xlfn.IFS(AF15="D",MAX(AC15-AD15,0),AF15="C",MAX(AB15-AD15,0),AF15="B",MAX(AA15-AD15,0),AF15="A",MAX(Z15-AD15,0),AF15="OBJETIVO ALCANÇADO",0)</f>
        <v>14</v>
      </c>
      <c r="AI15" t="s">
        <v>11</v>
      </c>
      <c r="AJ15" s="24">
        <f>_xlfn.XLOOKUP(Tabela817[[#This Row],[VENDEDOR]],[1]!Tabela8[VENDEDOR],[1]!Tabela8[META A])</f>
        <v>84000</v>
      </c>
      <c r="AK15" s="24">
        <f>_xlfn.XLOOKUP(Tabela817[[#This Row],[VENDEDOR]],[1]!Tabela8[VENDEDOR],[1]!Tabela8[META B])</f>
        <v>71400</v>
      </c>
      <c r="AL15" s="24">
        <f>_xlfn.XLOOKUP(Tabela817[[#This Row],[VENDEDOR]],[1]!Tabela8[VENDEDOR],[1]!Tabela8[META C])</f>
        <v>58799.999999999993</v>
      </c>
      <c r="AM15" s="24">
        <f>_xlfn.XLOOKUP(Tabela817[[#This Row],[VENDEDOR]],[1]!Tabela8[VENDEDOR],[1]!Tabela8[META D])</f>
        <v>37800</v>
      </c>
      <c r="AN15" s="25">
        <f>IFERROR(_xlfn.XLOOKUP(AI15,'[1]BASE PYTHON'!$E:$E,'[1]BASE PYTHON'!$F:$F,0),0)</f>
        <v>71931.839999999822</v>
      </c>
      <c r="AO15" s="26" t="str" cm="1">
        <f t="array" ref="AO15">_xlfn.IFS(AN15&gt;=AJ15,"A",AN15&gt;=AK15,"B",AN15&gt;=AL15,"C",AN15&gt;=AM15,"D",TRUE,"NÃO ATINGIDO")</f>
        <v>B</v>
      </c>
      <c r="AP15" s="26" t="str" cm="1">
        <f t="array" ref="AP15">_xlfn.IFS(AO15="NÃO ATINGIDO","D",AO15="D","C",AO15="C","B",AO15="B","A",AO15="A","OBJETIVO ALCANÇADO")</f>
        <v>A</v>
      </c>
      <c r="AQ15" s="25" cm="1">
        <f t="array" ref="AQ15">_xlfn.IFS(AP15="D",MAX(AM15-AN15,0),AP15="C",MAX(AL15-AN15,0),AP15="B",MAX(AK15-AN15,0),AP15="A",MAX(AJ15-AN15,0),AP15="OBJETIVO ALCANÇADO",0)</f>
        <v>12068.160000000178</v>
      </c>
    </row>
    <row r="16" spans="1:43" x14ac:dyDescent="0.25">
      <c r="A16" s="42" t="s">
        <v>26</v>
      </c>
      <c r="B16" s="42" t="s">
        <v>26</v>
      </c>
      <c r="C16" s="22">
        <f>_xlfn.XLOOKUP(Tabela13[[#This Row],[REFERENCIA]],[1]!Tabela2[VENDEDOR],[1]!Tabela2[META A],0)</f>
        <v>350000</v>
      </c>
      <c r="D16" s="22">
        <f>_xlfn.XLOOKUP(Tabela13[[#This Row],[REFERENCIA]],'[1]BASE PYTHON'!$E:$E,'[1]BASE PYTHON'!$F:$F,0)</f>
        <v>194941.35</v>
      </c>
      <c r="E16" s="43">
        <f>Tabela13[[#This Row],[META A]]-Tabela13[[#This Row],[ATINGIDO]]</f>
        <v>155058.65</v>
      </c>
      <c r="F16" s="4"/>
      <c r="G16" s="18" t="s">
        <v>20</v>
      </c>
      <c r="H16" s="18" t="s">
        <v>20</v>
      </c>
      <c r="I16" s="19">
        <f>_xlfn.XLOOKUP(Tabela5[[#This Row],[REFERENCIA]],'[1]BASE PYTHON'!$A$39:$A$55,'[1]BASE PYTHON'!$B$39:$B$55,0)</f>
        <v>18000</v>
      </c>
      <c r="J16" s="19">
        <f>_xlfn.XLOOKUP(Tabela5[[#This Row],[REFERENCIA]],'[1]BASE PYTHON'!$H:$H,'[1]BASE PYTHON'!$I:$I,0)</f>
        <v>135944.54999999996</v>
      </c>
      <c r="K16" s="20">
        <f>Tabela5[[#This Row],[COMPROMISSO]]-Tabela5[[#This Row],[ATINGIDO]]</f>
        <v>-117944.54999999996</v>
      </c>
      <c r="L16" s="4"/>
      <c r="M16" s="4" t="s">
        <v>31</v>
      </c>
      <c r="N16" s="4" t="s">
        <v>31</v>
      </c>
      <c r="O16" s="2" cm="1">
        <f t="array" ref="O16">IFERROR(_xlfn.XLOOKUP(M16,[1]!Tabela3[[#All],[VENDEDOR]],INDEX([1]!Tabela3[#All],0,MATCH($O$9,[1]!Tabela3[#Headers],0))),0)</f>
        <v>0</v>
      </c>
      <c r="P16" s="2">
        <f>IFERROR(GETPIVOTDATA("[Measures].[Soma de TOTAL 3]",'[1]BASE PYTHON'!$P$32,"[Intervalo 2].[REGIAO]","[Intervalo 2].[REGIAO].&amp;["&amp;N16&amp;"]","[Intervalo 2].[SEMANA]","[Intervalo 2].[SEMANA].&amp;["&amp;RIGHT($O$9,1)&amp;"]"),0)</f>
        <v>0</v>
      </c>
      <c r="Q16" s="2">
        <f>Tabela8[[#This Row],[COMPROMISSO]]-Tabela8[[#This Row],[ATINGIDO]]</f>
        <v>0</v>
      </c>
      <c r="R16" s="2"/>
      <c r="S16" s="17" t="s">
        <v>16</v>
      </c>
      <c r="T16" s="17" t="s">
        <v>16</v>
      </c>
      <c r="U16" s="17">
        <f>_xlfn.XLOOKUP(Tabela2[[#This Row],[REFERENCIA]],'[1]BASE PYTHON'!$A$63:$A$79,'[1]BASE PYTHON'!$B$63:$B$79)</f>
        <v>35</v>
      </c>
      <c r="V16" s="17">
        <f>IFERROR(VLOOKUP(Tabela2[[#This Row],[REFERENCIA]],'[1]BASE PYTHON'!$K:$N,'[1]BASE PYTHON'!L$1,0),0)</f>
        <v>0</v>
      </c>
      <c r="W16" s="17">
        <f t="shared" si="0"/>
        <v>35</v>
      </c>
      <c r="Y16" s="33" t="s">
        <v>19</v>
      </c>
      <c r="Z16" s="30">
        <f>_xlfn.XLOOKUP(Tabela17[[#This Row],[VENDEDOR]],[1]!Tabela4[VENDEDOR],[1]!Tabela4[META A])</f>
        <v>35</v>
      </c>
      <c r="AA16" s="30">
        <f>_xlfn.XLOOKUP(Tabela17[[#This Row],[VENDEDOR]],[1]!Tabela4[VENDEDOR],[1]!Tabela4[META B])</f>
        <v>30</v>
      </c>
      <c r="AB16" s="30">
        <f>_xlfn.XLOOKUP(Tabela17[[#This Row],[VENDEDOR]],[1]!Tabela4[VENDEDOR],[1]!Tabela4[META C])</f>
        <v>24.5</v>
      </c>
      <c r="AC16" s="30">
        <f>_xlfn.XLOOKUP(Tabela17[[#This Row],[VENDEDOR]],[1]!Tabela4[VENDEDOR],[1]!Tabela4[META D])</f>
        <v>14</v>
      </c>
      <c r="AD16" s="31">
        <f>IFERROR(_xlfn.XLOOKUP(Y16,'[1]BASE PYTHON'!$K:$K,'[1]BASE PYTHON'!$N:$N,0),0)</f>
        <v>0</v>
      </c>
      <c r="AE16" s="31" t="str" cm="1">
        <f t="array" ref="AE16">_xlfn.IFS(AD16&gt;=Z16,"A",AD16&gt;=AA16,"B",AD16&gt;=AB16,"C",AD16&gt;=AC16,"D",TRUE,"NÃO ATINGIDO")</f>
        <v>NÃO ATINGIDO</v>
      </c>
      <c r="AF16" s="31" t="str" cm="1">
        <f t="array" ref="AF16">_xlfn.IFS(AE16="NÃO ATINGIDO","D",AE16="D","C",AE16="C","B",AE16="B","A",AE16="A","OBJETIVO ALCANÇADO")</f>
        <v>D</v>
      </c>
      <c r="AG16" s="31" cm="1">
        <f t="array" ref="AG16">_xlfn.IFS(AF16="D",MAX(AC16-AD16,0),AF16="C",MAX(AB16-AD16,0),AF16="B",MAX(AA16-AD16,0),AF16="A",MAX(Z16-AD16,0),AF16="OBJETIVO ALCANÇADO",0)</f>
        <v>14</v>
      </c>
      <c r="AI16" t="s">
        <v>19</v>
      </c>
      <c r="AJ16" s="24">
        <f>_xlfn.XLOOKUP(Tabela817[[#This Row],[VENDEDOR]],[1]!Tabela8[VENDEDOR],[1]!Tabela8[META A])</f>
        <v>142000</v>
      </c>
      <c r="AK16" s="24">
        <f>_xlfn.XLOOKUP(Tabela817[[#This Row],[VENDEDOR]],[1]!Tabela8[VENDEDOR],[1]!Tabela8[META B])</f>
        <v>120700</v>
      </c>
      <c r="AL16" s="24">
        <f>_xlfn.XLOOKUP(Tabela817[[#This Row],[VENDEDOR]],[1]!Tabela8[VENDEDOR],[1]!Tabela8[META C])</f>
        <v>99400</v>
      </c>
      <c r="AM16" s="24">
        <f>_xlfn.XLOOKUP(Tabela817[[#This Row],[VENDEDOR]],[1]!Tabela8[VENDEDOR],[1]!Tabela8[META D])</f>
        <v>63900</v>
      </c>
      <c r="AN16" s="25">
        <f>IFERROR(_xlfn.XLOOKUP(AI16,'[1]BASE PYTHON'!$E:$E,'[1]BASE PYTHON'!$F:$F,0),0)</f>
        <v>107918.3099999995</v>
      </c>
      <c r="AO16" s="26" t="str" cm="1">
        <f t="array" ref="AO16">_xlfn.IFS(AN16&gt;=AJ16,"A",AN16&gt;=AK16,"B",AN16&gt;=AL16,"C",AN16&gt;=AM16,"D",TRUE,"NÃO ATINGIDO")</f>
        <v>C</v>
      </c>
      <c r="AP16" s="26" t="str" cm="1">
        <f t="array" ref="AP16">_xlfn.IFS(AO16="NÃO ATINGIDO","D",AO16="D","C",AO16="C","B",AO16="B","A",AO16="A","OBJETIVO ALCANÇADO")</f>
        <v>B</v>
      </c>
      <c r="AQ16" s="25" cm="1">
        <f t="array" ref="AQ16">_xlfn.IFS(AP16="D",MAX(AM16-AN16,0),AP16="C",MAX(AL16-AN16,0),AP16="B",MAX(AK16-AN16,0),AP16="A",MAX(AJ16-AN16,0),AP16="OBJETIVO ALCANÇADO",0)</f>
        <v>12781.690000000497</v>
      </c>
    </row>
    <row r="17" spans="1:43" x14ac:dyDescent="0.25">
      <c r="A17" s="42" t="s">
        <v>32</v>
      </c>
      <c r="B17" s="42" t="s">
        <v>32</v>
      </c>
      <c r="C17" s="22">
        <f>_xlfn.XLOOKUP(Tabela13[[#This Row],[REFERENCIA]],[1]!Tabela2[VENDEDOR],[1]!Tabela2[META A],0)</f>
        <v>500000</v>
      </c>
      <c r="D17" s="22">
        <f>_xlfn.XLOOKUP(Tabela13[[#This Row],[REFERENCIA]],'[1]BASE PYTHON'!$E:$E,'[1]BASE PYTHON'!$F:$F,0)</f>
        <v>350628.99999999953</v>
      </c>
      <c r="E17" s="43">
        <f>Tabela13[[#This Row],[META A]]-Tabela13[[#This Row],[ATINGIDO]]</f>
        <v>149371.00000000047</v>
      </c>
      <c r="F17" s="4"/>
      <c r="G17" s="18" t="s">
        <v>16</v>
      </c>
      <c r="H17" s="18" t="s">
        <v>16</v>
      </c>
      <c r="I17" s="19">
        <f>_xlfn.XLOOKUP(Tabela5[[#This Row],[REFERENCIA]],'[1]BASE PYTHON'!$A$39:$A$55,'[1]BASE PYTHON'!$B$39:$B$55,0)</f>
        <v>9790</v>
      </c>
      <c r="J17" s="19">
        <f>_xlfn.XLOOKUP(Tabela5[[#This Row],[REFERENCIA]],'[1]BASE PYTHON'!$H:$H,'[1]BASE PYTHON'!$I:$I,0)</f>
        <v>45154.940000000046</v>
      </c>
      <c r="K17" s="20">
        <f>Tabela5[[#This Row],[COMPROMISSO]]-Tabela5[[#This Row],[ATINGIDO]]</f>
        <v>-35364.940000000046</v>
      </c>
      <c r="L17" s="15"/>
      <c r="M17" s="4" t="s">
        <v>32</v>
      </c>
      <c r="N17" s="4" t="s">
        <v>32</v>
      </c>
      <c r="O17" s="2" cm="1">
        <f t="array" ref="O17">IFERROR(_xlfn.XLOOKUP(M17,[1]!Tabela3[[#All],[VENDEDOR]],INDEX([1]!Tabela3[#All],0,MATCH($O$9,[1]!Tabela3[#Headers],0))),0)</f>
        <v>0</v>
      </c>
      <c r="P17" s="2">
        <f>IFERROR(GETPIVOTDATA("[Measures].[Soma de TOTAL 3]",'[1]BASE PYTHON'!$P$32,"[Intervalo 2].[REGIAO]","[Intervalo 2].[REGIAO].&amp;["&amp;N17&amp;"]","[Intervalo 2].[SEMANA]","[Intervalo 2].[SEMANA].&amp;["&amp;RIGHT($O$9,1)&amp;"]"),0)</f>
        <v>0</v>
      </c>
      <c r="Q17" s="2">
        <f>Tabela8[[#This Row],[COMPROMISSO]]-Tabela8[[#This Row],[ATINGIDO]]</f>
        <v>0</v>
      </c>
      <c r="R17" s="2"/>
      <c r="S17" s="17" t="s">
        <v>13</v>
      </c>
      <c r="T17" s="17" t="s">
        <v>41</v>
      </c>
      <c r="U17" s="17">
        <f>_xlfn.XLOOKUP(Tabela2[[#This Row],[REFERENCIA]],'[1]BASE PYTHON'!$A$63:$A$79,'[1]BASE PYTHON'!$B$63:$B$79)</f>
        <v>35</v>
      </c>
      <c r="V17" s="17">
        <f ca="1">IFERROR(VLOOKUP(Tabela2[[#This Row],[REFERENCIA]],'[1]BASE PYTHON'!$K:$N,'[1]BASE PYTHON'!L$1,0),0)</f>
        <v>0</v>
      </c>
      <c r="W17" s="17">
        <f t="shared" ca="1" si="0"/>
        <v>35</v>
      </c>
      <c r="Y17" s="32" t="s">
        <v>14</v>
      </c>
      <c r="Z17" s="30">
        <f>_xlfn.XLOOKUP(Tabela17[[#This Row],[VENDEDOR]],[1]!Tabela4[VENDEDOR],[1]!Tabela4[META A])</f>
        <v>35</v>
      </c>
      <c r="AA17" s="28">
        <f>_xlfn.XLOOKUP(Tabela17[[#This Row],[VENDEDOR]],[1]!Tabela4[VENDEDOR],[1]!Tabela4[META B])</f>
        <v>30</v>
      </c>
      <c r="AB17" s="28">
        <f>_xlfn.XLOOKUP(Tabela17[[#This Row],[VENDEDOR]],[1]!Tabela4[VENDEDOR],[1]!Tabela4[META C])</f>
        <v>24.5</v>
      </c>
      <c r="AC17" s="28">
        <f>_xlfn.XLOOKUP(Tabela17[[#This Row],[VENDEDOR]],[1]!Tabela4[VENDEDOR],[1]!Tabela4[META D])</f>
        <v>14</v>
      </c>
      <c r="AD17" s="29">
        <f>IFERROR(_xlfn.XLOOKUP(Y17,'[1]BASE PYTHON'!$K:$K,'[1]BASE PYTHON'!$N:$N,0),0)</f>
        <v>0</v>
      </c>
      <c r="AE17" s="29" t="str" cm="1">
        <f t="array" ref="AE17">_xlfn.IFS(AD17&gt;=Z17,"A",AD17&gt;=AA17,"B",AD17&gt;=AB17,"C",AD17&gt;=AC17,"D",TRUE,"NÃO ATINGIDO")</f>
        <v>NÃO ATINGIDO</v>
      </c>
      <c r="AF17" s="29" t="str" cm="1">
        <f t="array" ref="AF17">_xlfn.IFS(AE17="NÃO ATINGIDO","D",AE17="D","C",AE17="C","B",AE17="B","A",AE17="A","OBJETIVO ALCANÇADO")</f>
        <v>D</v>
      </c>
      <c r="AG17" s="29" cm="1">
        <f t="array" ref="AG17">_xlfn.IFS(AF17="D",MAX(AC17-AD17,0),AF17="C",MAX(AB17-AD17,0),AF17="B",MAX(AA17-AD17,0),AF17="A",MAX(Z17-AD17,0),AF17="OBJETIVO ALCANÇADO",0)</f>
        <v>14</v>
      </c>
      <c r="AI17" t="s">
        <v>14</v>
      </c>
      <c r="AJ17" s="24">
        <f>_xlfn.XLOOKUP(Tabela817[[#This Row],[VENDEDOR]],[1]!Tabela8[VENDEDOR],[1]!Tabela8[META A])</f>
        <v>169000</v>
      </c>
      <c r="AK17" s="24">
        <f>_xlfn.XLOOKUP(Tabela817[[#This Row],[VENDEDOR]],[1]!Tabela8[VENDEDOR],[1]!Tabela8[META B])</f>
        <v>143650</v>
      </c>
      <c r="AL17" s="24">
        <f>_xlfn.XLOOKUP(Tabela817[[#This Row],[VENDEDOR]],[1]!Tabela8[VENDEDOR],[1]!Tabela8[META C])</f>
        <v>118299.99999999999</v>
      </c>
      <c r="AM17" s="24">
        <f>_xlfn.XLOOKUP(Tabela817[[#This Row],[VENDEDOR]],[1]!Tabela8[VENDEDOR],[1]!Tabela8[META D])</f>
        <v>76050</v>
      </c>
      <c r="AN17" s="25">
        <f>IFERROR(_xlfn.XLOOKUP(AI17,'[1]BASE PYTHON'!$E:$E,'[1]BASE PYTHON'!$F:$F,0),0)</f>
        <v>130217.75999999982</v>
      </c>
      <c r="AO17" s="26" t="str" cm="1">
        <f t="array" ref="AO17">_xlfn.IFS(AN17&gt;=AJ17,"A",AN17&gt;=AK17,"B",AN17&gt;=AL17,"C",AN17&gt;=AM17,"D",TRUE,"NÃO ATINGIDO")</f>
        <v>C</v>
      </c>
      <c r="AP17" s="26" t="str" cm="1">
        <f t="array" ref="AP17">_xlfn.IFS(AO17="NÃO ATINGIDO","D",AO17="D","C",AO17="C","B",AO17="B","A",AO17="A","OBJETIVO ALCANÇADO")</f>
        <v>B</v>
      </c>
      <c r="AQ17" s="25" cm="1">
        <f t="array" ref="AQ17">_xlfn.IFS(AP17="D",MAX(AM17-AN17,0),AP17="C",MAX(AL17-AN17,0),AP17="B",MAX(AK17-AN17,0),AP17="A",MAX(AJ17-AN17,0),AP17="OBJETIVO ALCANÇADO",0)</f>
        <v>13432.24000000018</v>
      </c>
    </row>
    <row r="18" spans="1:43" x14ac:dyDescent="0.25">
      <c r="A18" s="42" t="s">
        <v>29</v>
      </c>
      <c r="B18" s="42" t="s">
        <v>29</v>
      </c>
      <c r="C18" s="22">
        <f>_xlfn.XLOOKUP(Tabela13[[#This Row],[REFERENCIA]],[1]!Tabela2[VENDEDOR],[1]!Tabela2[META A],0)</f>
        <v>980000</v>
      </c>
      <c r="D18" s="22">
        <f>_xlfn.XLOOKUP(Tabela13[[#This Row],[REFERENCIA]],'[1]BASE PYTHON'!$E:$E,'[1]BASE PYTHON'!$F:$F,0)</f>
        <v>560129.58000000042</v>
      </c>
      <c r="E18" s="43">
        <f>Tabela13[[#This Row],[META A]]-Tabela13[[#This Row],[ATINGIDO]]</f>
        <v>419870.41999999958</v>
      </c>
      <c r="F18" s="4"/>
      <c r="G18" s="18" t="s">
        <v>12</v>
      </c>
      <c r="H18" s="18" t="s">
        <v>12</v>
      </c>
      <c r="I18" s="19">
        <f>_xlfn.XLOOKUP(Tabela5[[#This Row],[REFERENCIA]],'[1]BASE PYTHON'!$A$39:$A$55,'[1]BASE PYTHON'!$B$39:$B$55,0)</f>
        <v>0</v>
      </c>
      <c r="J18" s="19">
        <f ca="1">_xlfn.XLOOKUP(Tabela5[[#This Row],[REFERENCIA]],'[1]BASE PYTHON'!$H:$H,'[1]BASE PYTHON'!$I:$I,0)</f>
        <v>0</v>
      </c>
      <c r="K18" s="20">
        <f ca="1">Tabela5[[#This Row],[COMPROMISSO]]-Tabela5[[#This Row],[ATINGIDO]]</f>
        <v>0</v>
      </c>
      <c r="L18" s="4"/>
      <c r="M18" s="15"/>
      <c r="N18" s="4"/>
      <c r="O18" s="4"/>
      <c r="P18" s="2"/>
      <c r="Q18" s="2"/>
      <c r="R18" s="4"/>
      <c r="S18" s="17" t="s">
        <v>17</v>
      </c>
      <c r="T18" s="17" t="s">
        <v>17</v>
      </c>
      <c r="U18" s="17">
        <f>_xlfn.XLOOKUP(Tabela2[[#This Row],[REFERENCIA]],'[1]BASE PYTHON'!$A$63:$A$79,'[1]BASE PYTHON'!$B$63:$B$79)</f>
        <v>35</v>
      </c>
      <c r="V18" s="17">
        <f>IFERROR(VLOOKUP(Tabela2[[#This Row],[REFERENCIA]],'[1]BASE PYTHON'!$K:$N,'[1]BASE PYTHON'!L$1,0),0)</f>
        <v>0</v>
      </c>
      <c r="W18" s="17">
        <f t="shared" si="0"/>
        <v>35</v>
      </c>
      <c r="Y18" s="33" t="s">
        <v>21</v>
      </c>
      <c r="Z18" s="30">
        <f>_xlfn.XLOOKUP(Tabela17[[#This Row],[VENDEDOR]],[1]!Tabela4[VENDEDOR],[1]!Tabela4[META A])</f>
        <v>35</v>
      </c>
      <c r="AA18" s="30">
        <f>_xlfn.XLOOKUP(Tabela17[[#This Row],[VENDEDOR]],[1]!Tabela4[VENDEDOR],[1]!Tabela4[META B])</f>
        <v>30</v>
      </c>
      <c r="AB18" s="30">
        <f>_xlfn.XLOOKUP(Tabela17[[#This Row],[VENDEDOR]],[1]!Tabela4[VENDEDOR],[1]!Tabela4[META C])</f>
        <v>24.5</v>
      </c>
      <c r="AC18" s="30">
        <f>_xlfn.XLOOKUP(Tabela17[[#This Row],[VENDEDOR]],[1]!Tabela4[VENDEDOR],[1]!Tabela4[META D])</f>
        <v>14</v>
      </c>
      <c r="AD18" s="31">
        <f>IFERROR(_xlfn.XLOOKUP(Y18,'[1]BASE PYTHON'!$K:$K,'[1]BASE PYTHON'!$N:$N,0),0)</f>
        <v>0</v>
      </c>
      <c r="AE18" s="31" t="str" cm="1">
        <f t="array" ref="AE18">_xlfn.IFS(AD18&gt;=Z18,"A",AD18&gt;=AA18,"B",AD18&gt;=AB18,"C",AD18&gt;=AC18,"D",TRUE,"NÃO ATINGIDO")</f>
        <v>NÃO ATINGIDO</v>
      </c>
      <c r="AF18" s="31" t="str" cm="1">
        <f t="array" ref="AF18">_xlfn.IFS(AE18="NÃO ATINGIDO","D",AE18="D","C",AE18="C","B",AE18="B","A",AE18="A","OBJETIVO ALCANÇADO")</f>
        <v>D</v>
      </c>
      <c r="AG18" s="31" cm="1">
        <f t="array" ref="AG18">_xlfn.IFS(AF18="D",MAX(AC18-AD18,0),AF18="C",MAX(AB18-AD18,0),AF18="B",MAX(AA18-AD18,0),AF18="A",MAX(Z18-AD18,0),AF18="OBJETIVO ALCANÇADO",0)</f>
        <v>14</v>
      </c>
      <c r="AI18" t="s">
        <v>21</v>
      </c>
      <c r="AJ18" s="24">
        <f>_xlfn.XLOOKUP(Tabela817[[#This Row],[VENDEDOR]],[1]!Tabela8[VENDEDOR],[1]!Tabela8[META A])</f>
        <v>270000</v>
      </c>
      <c r="AK18" s="24">
        <f>_xlfn.XLOOKUP(Tabela817[[#This Row],[VENDEDOR]],[1]!Tabela8[VENDEDOR],[1]!Tabela8[META B])</f>
        <v>229500</v>
      </c>
      <c r="AL18" s="24">
        <f>_xlfn.XLOOKUP(Tabela817[[#This Row],[VENDEDOR]],[1]!Tabela8[VENDEDOR],[1]!Tabela8[META C])</f>
        <v>189000</v>
      </c>
      <c r="AM18" s="24">
        <f>_xlfn.XLOOKUP(Tabela817[[#This Row],[VENDEDOR]],[1]!Tabela8[VENDEDOR],[1]!Tabela8[META D])</f>
        <v>121500</v>
      </c>
      <c r="AN18" s="25">
        <f>IFERROR(_xlfn.XLOOKUP(AI18,'[1]BASE PYTHON'!$E:$E,'[1]BASE PYTHON'!$F:$F,0),0)</f>
        <v>215409.78999999963</v>
      </c>
      <c r="AO18" s="26" t="str" cm="1">
        <f t="array" ref="AO18">_xlfn.IFS(AN18&gt;=AJ18,"A",AN18&gt;=AK18,"B",AN18&gt;=AL18,"C",AN18&gt;=AM18,"D",TRUE,"NÃO ATINGIDO")</f>
        <v>C</v>
      </c>
      <c r="AP18" s="26" t="str" cm="1">
        <f t="array" ref="AP18">_xlfn.IFS(AO18="NÃO ATINGIDO","D",AO18="D","C",AO18="C","B",AO18="B","A",AO18="A","OBJETIVO ALCANÇADO")</f>
        <v>B</v>
      </c>
      <c r="AQ18" s="25" cm="1">
        <f t="array" ref="AQ18">_xlfn.IFS(AP18="D",MAX(AM18-AN18,0),AP18="C",MAX(AL18-AN18,0),AP18="B",MAX(AK18-AN18,0),AP18="A",MAX(AJ18-AN18,0),AP18="OBJETIVO ALCANÇADO",0)</f>
        <v>14090.21000000037</v>
      </c>
    </row>
    <row r="19" spans="1:43" x14ac:dyDescent="0.25">
      <c r="A19" s="42" t="s">
        <v>31</v>
      </c>
      <c r="B19" s="42" t="s">
        <v>31</v>
      </c>
      <c r="C19" s="22">
        <f>_xlfn.XLOOKUP(Tabela13[[#This Row],[REFERENCIA]],[1]!Tabela2[VENDEDOR],[1]!Tabela2[META A],0)</f>
        <v>150000</v>
      </c>
      <c r="D19" s="22">
        <f>_xlfn.XLOOKUP(Tabela13[[#This Row],[REFERENCIA]],'[1]BASE PYTHON'!$E:$E,'[1]BASE PYTHON'!$F:$F,0)</f>
        <v>45062.200000000004</v>
      </c>
      <c r="E19" s="43">
        <f>Tabela13[[#This Row],[META A]]-Tabela13[[#This Row],[ATINGIDO]]</f>
        <v>104937.79999999999</v>
      </c>
      <c r="F19" s="4"/>
      <c r="G19" s="18" t="s">
        <v>13</v>
      </c>
      <c r="H19" s="18" t="s">
        <v>41</v>
      </c>
      <c r="I19" s="19">
        <f>_xlfn.XLOOKUP(Tabela5[[#This Row],[REFERENCIA]],'[1]BASE PYTHON'!$A$39:$A$55,'[1]BASE PYTHON'!$B$39:$B$55,0)</f>
        <v>17000</v>
      </c>
      <c r="J19" s="19">
        <f>_xlfn.XLOOKUP(Tabela5[[#This Row],[REFERENCIA]],'[1]BASE PYTHON'!$H:$H,'[1]BASE PYTHON'!$I:$I,0)</f>
        <v>148229.4349999995</v>
      </c>
      <c r="K19" s="20">
        <f>Tabela5[[#This Row],[COMPROMISSO]]-Tabela5[[#This Row],[ATINGIDO]]</f>
        <v>-131229.4349999995</v>
      </c>
      <c r="L19" s="4"/>
      <c r="M19" s="4"/>
      <c r="R19" s="4"/>
      <c r="S19" s="17" t="s">
        <v>18</v>
      </c>
      <c r="T19" s="17" t="s">
        <v>18</v>
      </c>
      <c r="U19" s="17">
        <f>_xlfn.XLOOKUP(Tabela2[[#This Row],[REFERENCIA]],'[1]BASE PYTHON'!$A$63:$A$79,'[1]BASE PYTHON'!$B$63:$B$79)</f>
        <v>35</v>
      </c>
      <c r="V19" s="17">
        <f ca="1">IFERROR(VLOOKUP(Tabela2[[#This Row],[REFERENCIA]],'[1]BASE PYTHON'!$K:$N,'[1]BASE PYTHON'!L$1,0),0)</f>
        <v>0</v>
      </c>
      <c r="W19" s="17">
        <f t="shared" ca="1" si="0"/>
        <v>35</v>
      </c>
      <c r="Y19" s="32" t="s">
        <v>16</v>
      </c>
      <c r="Z19" s="30">
        <f>_xlfn.XLOOKUP(Tabela17[[#This Row],[VENDEDOR]],[1]!Tabela4[VENDEDOR],[1]!Tabela4[META A])</f>
        <v>35</v>
      </c>
      <c r="AA19" s="28">
        <f>_xlfn.XLOOKUP(Tabela17[[#This Row],[VENDEDOR]],[1]!Tabela4[VENDEDOR],[1]!Tabela4[META B])</f>
        <v>30</v>
      </c>
      <c r="AB19" s="28">
        <f>_xlfn.XLOOKUP(Tabela17[[#This Row],[VENDEDOR]],[1]!Tabela4[VENDEDOR],[1]!Tabela4[META C])</f>
        <v>24.5</v>
      </c>
      <c r="AC19" s="28">
        <f>_xlfn.XLOOKUP(Tabela17[[#This Row],[VENDEDOR]],[1]!Tabela4[VENDEDOR],[1]!Tabela4[META D])</f>
        <v>14</v>
      </c>
      <c r="AD19" s="29">
        <f>IFERROR(_xlfn.XLOOKUP(Y19,'[1]BASE PYTHON'!$K:$K,'[1]BASE PYTHON'!$N:$N,0),0)</f>
        <v>0</v>
      </c>
      <c r="AE19" s="29" t="str" cm="1">
        <f t="array" ref="AE19">_xlfn.IFS(AD19&gt;=Z19,"A",AD19&gt;=AA19,"B",AD19&gt;=AB19,"C",AD19&gt;=AC19,"D",TRUE,"NÃO ATINGIDO")</f>
        <v>NÃO ATINGIDO</v>
      </c>
      <c r="AF19" s="29" t="str" cm="1">
        <f t="array" ref="AF19">_xlfn.IFS(AE19="NÃO ATINGIDO","D",AE19="D","C",AE19="C","B",AE19="B","A",AE19="A","OBJETIVO ALCANÇADO")</f>
        <v>D</v>
      </c>
      <c r="AG19" s="29" cm="1">
        <f t="array" ref="AG19">_xlfn.IFS(AF19="D",MAX(AC19-AD19,0),AF19="C",MAX(AB19-AD19,0),AF19="B",MAX(AA19-AD19,0),AF19="A",MAX(Z19-AD19,0),AF19="OBJETIVO ALCANÇADO",0)</f>
        <v>14</v>
      </c>
      <c r="AI19" t="s">
        <v>16</v>
      </c>
      <c r="AJ19" s="24">
        <f>_xlfn.XLOOKUP(Tabela817[[#This Row],[VENDEDOR]],[1]!Tabela8[VENDEDOR],[1]!Tabela8[META A])</f>
        <v>95500</v>
      </c>
      <c r="AK19" s="24">
        <f>_xlfn.XLOOKUP(Tabela817[[#This Row],[VENDEDOR]],[1]!Tabela8[VENDEDOR],[1]!Tabela8[META B])</f>
        <v>81175</v>
      </c>
      <c r="AL19" s="24">
        <f>_xlfn.XLOOKUP(Tabela817[[#This Row],[VENDEDOR]],[1]!Tabela8[VENDEDOR],[1]!Tabela8[META C])</f>
        <v>66850</v>
      </c>
      <c r="AM19" s="24">
        <f>_xlfn.XLOOKUP(Tabela817[[#This Row],[VENDEDOR]],[1]!Tabela8[VENDEDOR],[1]!Tabela8[META D])</f>
        <v>42975</v>
      </c>
      <c r="AN19" s="25">
        <f>IFERROR(_xlfn.XLOOKUP(AI19,'[1]BASE PYTHON'!$E:$E,'[1]BASE PYTHON'!$F:$F,0),0)</f>
        <v>45154.940000000046</v>
      </c>
      <c r="AO19" s="26" t="str" cm="1">
        <f t="array" ref="AO19">_xlfn.IFS(AN19&gt;=AJ19,"A",AN19&gt;=AK19,"B",AN19&gt;=AL19,"C",AN19&gt;=AM19,"D",TRUE,"NÃO ATINGIDO")</f>
        <v>D</v>
      </c>
      <c r="AP19" s="26" t="str" cm="1">
        <f t="array" ref="AP19">_xlfn.IFS(AO19="NÃO ATINGIDO","D",AO19="D","C",AO19="C","B",AO19="B","A",AO19="A","OBJETIVO ALCANÇADO")</f>
        <v>C</v>
      </c>
      <c r="AQ19" s="25" cm="1">
        <f t="array" ref="AQ19">_xlfn.IFS(AP19="D",MAX(AM19-AN19,0),AP19="C",MAX(AL19-AN19,0),AP19="B",MAX(AK19-AN19,0),AP19="A",MAX(AJ19-AN19,0),AP19="OBJETIVO ALCANÇADO",0)</f>
        <v>21695.059999999954</v>
      </c>
    </row>
    <row r="20" spans="1:43" x14ac:dyDescent="0.25">
      <c r="A20" s="42" t="s">
        <v>30</v>
      </c>
      <c r="B20" s="42" t="s">
        <v>30</v>
      </c>
      <c r="C20" s="22">
        <f>_xlfn.XLOOKUP(Tabela13[[#This Row],[REFERENCIA]],[1]!Tabela2[VENDEDOR],[1]!Tabela2[META A],0)</f>
        <v>590000</v>
      </c>
      <c r="D20" s="22">
        <f>_xlfn.XLOOKUP(Tabela13[[#This Row],[REFERENCIA]],'[1]BASE PYTHON'!$E:$E,'[1]BASE PYTHON'!$F:$F,0)</f>
        <v>288574.25999999995</v>
      </c>
      <c r="E20" s="43">
        <f>Tabela13[[#This Row],[META A]]-Tabela13[[#This Row],[ATINGIDO]]</f>
        <v>301425.74000000005</v>
      </c>
      <c r="F20" s="4"/>
      <c r="G20" s="18" t="s">
        <v>10</v>
      </c>
      <c r="H20" s="18" t="s">
        <v>10</v>
      </c>
      <c r="I20" s="19">
        <f>_xlfn.XLOOKUP(Tabela5[[#This Row],[REFERENCIA]],'[1]BASE PYTHON'!$A$39:$A$55,'[1]BASE PYTHON'!$B$39:$B$55,0)</f>
        <v>24730</v>
      </c>
      <c r="J20" s="19">
        <f>_xlfn.XLOOKUP(Tabela5[[#This Row],[REFERENCIA]],'[1]BASE PYTHON'!$H:$H,'[1]BASE PYTHON'!$I:$I,0)</f>
        <v>203747.14999999964</v>
      </c>
      <c r="K20" s="20">
        <f>Tabela5[[#This Row],[COMPROMISSO]]-Tabela5[[#This Row],[ATINGIDO]]</f>
        <v>-179017.14999999964</v>
      </c>
      <c r="L20" s="4"/>
      <c r="M20" s="4"/>
      <c r="N20" s="4" t="s">
        <v>47</v>
      </c>
      <c r="O20" s="4" t="s">
        <v>25</v>
      </c>
      <c r="P20" s="4" t="s">
        <v>3</v>
      </c>
      <c r="Q20" s="4" t="s">
        <v>2</v>
      </c>
      <c r="R20" s="4"/>
      <c r="S20" s="17" t="s">
        <v>14</v>
      </c>
      <c r="T20" s="17" t="s">
        <v>42</v>
      </c>
      <c r="U20" s="17">
        <f>_xlfn.XLOOKUP(Tabela2[[#This Row],[REFERENCIA]],'[1]BASE PYTHON'!$A$63:$A$79,'[1]BASE PYTHON'!$B$63:$B$79)</f>
        <v>35</v>
      </c>
      <c r="V20" s="17">
        <f ca="1">IFERROR(VLOOKUP(Tabela2[[#This Row],[REFERENCIA]],'[1]BASE PYTHON'!$K:$N,'[1]BASE PYTHON'!L$1,0),0)</f>
        <v>0</v>
      </c>
      <c r="W20" s="17">
        <f t="shared" ca="1" si="0"/>
        <v>35</v>
      </c>
      <c r="Y20" s="33" t="s">
        <v>15</v>
      </c>
      <c r="Z20" s="30">
        <f>_xlfn.XLOOKUP(Tabela17[[#This Row],[VENDEDOR]],[1]!Tabela4[VENDEDOR],[1]!Tabela4[META A])</f>
        <v>35</v>
      </c>
      <c r="AA20" s="30">
        <f>_xlfn.XLOOKUP(Tabela17[[#This Row],[VENDEDOR]],[1]!Tabela4[VENDEDOR],[1]!Tabela4[META B])</f>
        <v>30</v>
      </c>
      <c r="AB20" s="30">
        <f>_xlfn.XLOOKUP(Tabela17[[#This Row],[VENDEDOR]],[1]!Tabela4[VENDEDOR],[1]!Tabela4[META C])</f>
        <v>24.5</v>
      </c>
      <c r="AC20" s="30">
        <f>_xlfn.XLOOKUP(Tabela17[[#This Row],[VENDEDOR]],[1]!Tabela4[VENDEDOR],[1]!Tabela4[META D])</f>
        <v>14</v>
      </c>
      <c r="AD20" s="31">
        <f>IFERROR(_xlfn.XLOOKUP(Y20,'[1]BASE PYTHON'!$K:$K,'[1]BASE PYTHON'!$N:$N,0),0)</f>
        <v>0</v>
      </c>
      <c r="AE20" s="31" t="str" cm="1">
        <f t="array" ref="AE20">_xlfn.IFS(AD20&gt;=Z20,"A",AD20&gt;=AA20,"B",AD20&gt;=AB20,"C",AD20&gt;=AC20,"D",TRUE,"NÃO ATINGIDO")</f>
        <v>NÃO ATINGIDO</v>
      </c>
      <c r="AF20" s="31" t="str" cm="1">
        <f t="array" ref="AF20">_xlfn.IFS(AE20="NÃO ATINGIDO","D",AE20="D","C",AE20="C","B",AE20="B","A",AE20="A","OBJETIVO ALCANÇADO")</f>
        <v>D</v>
      </c>
      <c r="AG20" s="31" cm="1">
        <f t="array" ref="AG20">_xlfn.IFS(AF20="D",MAX(AC20-AD20,0),AF20="C",MAX(AB20-AD20,0),AF20="B",MAX(AA20-AD20,0),AF20="A",MAX(Z20-AD20,0),AF20="OBJETIVO ALCANÇADO",0)</f>
        <v>14</v>
      </c>
      <c r="AI20" t="s">
        <v>15</v>
      </c>
      <c r="AJ20" s="24">
        <f>_xlfn.XLOOKUP(Tabela817[[#This Row],[VENDEDOR]],[1]!Tabela8[VENDEDOR],[1]!Tabela8[META A])</f>
        <v>217500</v>
      </c>
      <c r="AK20" s="24">
        <f>_xlfn.XLOOKUP(Tabela817[[#This Row],[VENDEDOR]],[1]!Tabela8[VENDEDOR],[1]!Tabela8[META B])</f>
        <v>184875</v>
      </c>
      <c r="AL20" s="24">
        <f>_xlfn.XLOOKUP(Tabela817[[#This Row],[VENDEDOR]],[1]!Tabela8[VENDEDOR],[1]!Tabela8[META C])</f>
        <v>152250</v>
      </c>
      <c r="AM20" s="24">
        <f>_xlfn.XLOOKUP(Tabela817[[#This Row],[VENDEDOR]],[1]!Tabela8[VENDEDOR],[1]!Tabela8[META D])</f>
        <v>97875</v>
      </c>
      <c r="AN20" s="25">
        <f>IFERROR(_xlfn.XLOOKUP(AI20,'[1]BASE PYTHON'!$E:$E,'[1]BASE PYTHON'!$F:$F,0),0)</f>
        <v>122031.32999999971</v>
      </c>
      <c r="AO20" s="26" t="str" cm="1">
        <f t="array" ref="AO20">_xlfn.IFS(AN20&gt;=AJ20,"A",AN20&gt;=AK20,"B",AN20&gt;=AL20,"C",AN20&gt;=AM20,"D",TRUE,"NÃO ATINGIDO")</f>
        <v>D</v>
      </c>
      <c r="AP20" s="26" t="str" cm="1">
        <f t="array" ref="AP20">_xlfn.IFS(AO20="NÃO ATINGIDO","D",AO20="D","C",AO20="C","B",AO20="B","A",AO20="A","OBJETIVO ALCANÇADO")</f>
        <v>C</v>
      </c>
      <c r="AQ20" s="25" cm="1">
        <f t="array" ref="AQ20">_xlfn.IFS(AP20="D",MAX(AM20-AN20,0),AP20="C",MAX(AL20-AN20,0),AP20="B",MAX(AK20-AN20,0),AP20="A",MAX(AJ20-AN20,0),AP20="OBJETIVO ALCANÇADO",0)</f>
        <v>30218.670000000289</v>
      </c>
    </row>
    <row r="21" spans="1:43" x14ac:dyDescent="0.25">
      <c r="A21" s="42" t="s">
        <v>28</v>
      </c>
      <c r="B21" s="42" t="s">
        <v>28</v>
      </c>
      <c r="C21" s="22">
        <f>_xlfn.XLOOKUP(Tabela13[[#This Row],[REFERENCIA]],[1]!Tabela2[VENDEDOR],[1]!Tabela2[META A],0)</f>
        <v>480000</v>
      </c>
      <c r="D21" s="22">
        <f>_xlfn.XLOOKUP(Tabela13[[#This Row],[REFERENCIA]],'[1]BASE PYTHON'!$E:$E,'[1]BASE PYTHON'!$F:$F,0)</f>
        <v>334703.23000000004</v>
      </c>
      <c r="E21" s="43">
        <f>Tabela13[[#This Row],[META A]]-Tabela13[[#This Row],[ATINGIDO]]</f>
        <v>145296.76999999996</v>
      </c>
      <c r="F21" s="4"/>
      <c r="G21" s="18" t="s">
        <v>11</v>
      </c>
      <c r="H21" s="18" t="s">
        <v>11</v>
      </c>
      <c r="I21" s="19">
        <f>_xlfn.XLOOKUP(Tabela5[[#This Row],[REFERENCIA]],'[1]BASE PYTHON'!$A$39:$A$55,'[1]BASE PYTHON'!$B$39:$B$55,0)</f>
        <v>5820</v>
      </c>
      <c r="J21" s="19">
        <f>_xlfn.XLOOKUP(Tabela5[[#This Row],[REFERENCIA]],'[1]BASE PYTHON'!$H:$H,'[1]BASE PYTHON'!$I:$I,0)</f>
        <v>71931.839999999822</v>
      </c>
      <c r="K21" s="20">
        <f>Tabela5[[#This Row],[COMPROMISSO]]-Tabela5[[#This Row],[ATINGIDO]]</f>
        <v>-66111.839999999822</v>
      </c>
      <c r="L21" s="4"/>
      <c r="M21" s="4"/>
      <c r="N21" s="4" t="s">
        <v>4</v>
      </c>
      <c r="O21" s="2" cm="1">
        <f t="array" ref="O21">_xlfn.XLOOKUP(Tabela9[[#This Row],[SEMANAL]],[1]!Tabela10[[#All],[Coluna1]],[1]!Tabela10[[#All],[Coluna2]])</f>
        <v>290476.19047619047</v>
      </c>
      <c r="P21" s="2">
        <f>IFERROR(GETPIVOTDATA("[Measures].[Soma de TOTAL 3]",'[1]BASE PYTHON'!$P$32,"[Intervalo 2].[SEMANA]","[Intervalo 2].[SEMANA].&amp;[1]"),0)</f>
        <v>3483.2</v>
      </c>
      <c r="Q21" s="7">
        <f>O21-P21</f>
        <v>286992.99047619046</v>
      </c>
      <c r="R21" s="4"/>
      <c r="S21" s="17" t="s">
        <v>19</v>
      </c>
      <c r="T21" s="17" t="s">
        <v>19</v>
      </c>
      <c r="U21" s="17">
        <f>_xlfn.XLOOKUP(Tabela2[[#This Row],[REFERENCIA]],'[1]BASE PYTHON'!$A$63:$A$79,'[1]BASE PYTHON'!$B$63:$B$79)</f>
        <v>35</v>
      </c>
      <c r="V21" s="17">
        <f ca="1">IFERROR(VLOOKUP(Tabela2[[#This Row],[REFERENCIA]],'[1]BASE PYTHON'!$K:$N,'[1]BASE PYTHON'!L$1,0),0)</f>
        <v>0</v>
      </c>
      <c r="W21" s="17">
        <f t="shared" ref="W21:W26" ca="1" si="1">U21-V21</f>
        <v>35</v>
      </c>
      <c r="Y21" s="36" t="s">
        <v>60</v>
      </c>
      <c r="Z21" s="37">
        <f>SUBTOTAL(109,Planilha1!$Z$3:$Z$20)</f>
        <v>639</v>
      </c>
      <c r="AA21" s="37">
        <f>SUBTOTAL(109,Planilha1!$AA$3:$AA$20)</f>
        <v>548</v>
      </c>
      <c r="AB21" s="37">
        <f>SUBTOTAL(109,Planilha1!$AB$3:$AB$20)</f>
        <v>448</v>
      </c>
      <c r="AC21" s="37">
        <f>SUBTOTAL(109,Planilha1!$AC$3:$AC$20)</f>
        <v>260</v>
      </c>
      <c r="AD21" s="37">
        <f>SUBTOTAL(109,Planilha1!$AD$3:$AD$20)</f>
        <v>68</v>
      </c>
      <c r="AE21" s="37"/>
      <c r="AF21" s="37"/>
      <c r="AG21" s="38">
        <f>SUBTOTAL(109,Planilha1!$AG$3:$AG$20)</f>
        <v>235</v>
      </c>
      <c r="AI21" t="s">
        <v>60</v>
      </c>
      <c r="AJ21" s="26">
        <f>SUBTOTAL(109,Tabela817[META A])</f>
        <v>2980000</v>
      </c>
      <c r="AK21" s="26">
        <f>SUBTOTAL(109,Tabela817[META B])</f>
        <v>2533000</v>
      </c>
      <c r="AL21" s="26">
        <f>SUBTOTAL(109,Tabela817[META C])</f>
        <v>2086000</v>
      </c>
      <c r="AM21" s="26">
        <f>SUBTOTAL(109,Tabela817[META D])</f>
        <v>1341000</v>
      </c>
      <c r="AN21" s="26">
        <f>SUBTOTAL(109,Tabela817[ATINGIDO])</f>
        <v>2185106.5899999961</v>
      </c>
      <c r="AO21" s="4"/>
      <c r="AP21" s="4"/>
      <c r="AQ21" s="27">
        <f>SUBTOTAL(109,Tabela817[FALTA])</f>
        <v>266668.41000000358</v>
      </c>
    </row>
    <row r="22" spans="1:43" x14ac:dyDescent="0.25">
      <c r="A22" s="42" t="s">
        <v>12</v>
      </c>
      <c r="B22" s="42" t="s">
        <v>12</v>
      </c>
      <c r="C22" s="22">
        <f>_xlfn.XLOOKUP(Tabela13[[#This Row],[REFERENCIA]],[1]!Tabela2[VENDEDOR],[1]!Tabela2[META A],0)</f>
        <v>0</v>
      </c>
      <c r="D22" s="22">
        <f>_xlfn.XLOOKUP(Tabela13[[#This Row],[REFERENCIA]],'[1]BASE PYTHON'!$E:$E,'[1]BASE PYTHON'!$F:$F,0)</f>
        <v>0</v>
      </c>
      <c r="E22" s="43">
        <f>Tabela13[[#This Row],[META A]]-Tabela13[[#This Row],[ATINGIDO]]</f>
        <v>0</v>
      </c>
      <c r="F22" s="4"/>
      <c r="G22" s="18" t="s">
        <v>14</v>
      </c>
      <c r="H22" s="18" t="s">
        <v>42</v>
      </c>
      <c r="I22" s="19">
        <f>_xlfn.XLOOKUP(Tabela5[[#This Row],[REFERENCIA]],'[1]BASE PYTHON'!$A$39:$A$55,'[1]BASE PYTHON'!$B$39:$B$55,0)</f>
        <v>21000</v>
      </c>
      <c r="J22" s="19">
        <f>_xlfn.XLOOKUP(Tabela5[[#This Row],[REFERENCIA]],'[1]BASE PYTHON'!$H:$H,'[1]BASE PYTHON'!$I:$I,0)</f>
        <v>130217.75999999982</v>
      </c>
      <c r="K22" s="20">
        <f>Tabela5[[#This Row],[COMPROMISSO]]-Tabela5[[#This Row],[ATINGIDO]]</f>
        <v>-109217.75999999982</v>
      </c>
      <c r="L22" s="4"/>
      <c r="M22" s="4"/>
      <c r="N22" s="4" t="s">
        <v>48</v>
      </c>
      <c r="O22" s="2" cm="1">
        <f t="array" ref="O22">_xlfn.XLOOKUP(Tabela9[[#This Row],[SEMANAL]],[1]!Tabela10[[#All],[Coluna1]],[1]!Tabela10[[#All],[Coluna2]])</f>
        <v>726190.47619047621</v>
      </c>
      <c r="P22" s="7">
        <f>IFERROR(GETPIVOTDATA("[Measures].[Soma de TOTAL 3]",'[1]BASE PYTHON'!$P$32,"[Intervalo 2].[SEMANA]","[Intervalo 2].[SEMANA].&amp;[2]"),0)</f>
        <v>102026.29000000004</v>
      </c>
      <c r="Q22" s="7">
        <f>O22-P22</f>
        <v>624164.18619047618</v>
      </c>
      <c r="R22" s="4"/>
      <c r="S22" s="17" t="s">
        <v>20</v>
      </c>
      <c r="T22" s="17" t="s">
        <v>20</v>
      </c>
      <c r="U22" s="17">
        <f>_xlfn.XLOOKUP(Tabela2[[#This Row],[REFERENCIA]],'[1]BASE PYTHON'!$A$63:$A$79,'[1]BASE PYTHON'!$B$63:$B$79)</f>
        <v>35</v>
      </c>
      <c r="V22" s="17">
        <f ca="1">IFERROR(VLOOKUP(Tabela2[[#This Row],[REFERENCIA]],'[1]BASE PYTHON'!$K:$N,'[1]BASE PYTHON'!L$1,0),0)</f>
        <v>0</v>
      </c>
      <c r="W22" s="17">
        <f t="shared" ca="1" si="1"/>
        <v>35</v>
      </c>
    </row>
    <row r="23" spans="1:43" x14ac:dyDescent="0.25">
      <c r="A23" s="42" t="s">
        <v>13</v>
      </c>
      <c r="B23" s="42" t="s">
        <v>41</v>
      </c>
      <c r="C23" s="22">
        <f>_xlfn.XLOOKUP(Tabela13[[#This Row],[REFERENCIA]],[1]!Tabela2[VENDEDOR],[1]!Tabela2[META A],0)</f>
        <v>206000</v>
      </c>
      <c r="D23" s="22">
        <f>_xlfn.XLOOKUP(Tabela13[[#This Row],[REFERENCIA]],'[1]BASE PYTHON'!$E:$E,'[1]BASE PYTHON'!$F:$F,0)</f>
        <v>148229.4349999995</v>
      </c>
      <c r="E23" s="43">
        <f>Tabela13[[#This Row],[META A]]-Tabela13[[#This Row],[ATINGIDO]]</f>
        <v>57770.565000000497</v>
      </c>
      <c r="F23" s="4"/>
      <c r="G23" s="18" t="s">
        <v>9</v>
      </c>
      <c r="H23" s="18" t="s">
        <v>9</v>
      </c>
      <c r="I23" s="19">
        <f>_xlfn.XLOOKUP(Tabela5[[#This Row],[REFERENCIA]],'[1]BASE PYTHON'!$A$39:$A$55,'[1]BASE PYTHON'!$B$39:$B$55,0)</f>
        <v>15850</v>
      </c>
      <c r="J23" s="19">
        <f>_xlfn.XLOOKUP(Tabela5[[#This Row],[REFERENCIA]],'[1]BASE PYTHON'!$H:$H,'[1]BASE PYTHON'!$I:$I,0)</f>
        <v>62260.590000000026</v>
      </c>
      <c r="K23" s="20">
        <f>Tabela5[[#This Row],[COMPROMISSO]]-Tabela5[[#This Row],[ATINGIDO]]</f>
        <v>-46410.590000000026</v>
      </c>
      <c r="L23" s="4"/>
      <c r="M23" s="4"/>
      <c r="N23" s="4" t="s">
        <v>49</v>
      </c>
      <c r="O23" s="2" cm="1">
        <f t="array" ref="O23">_xlfn.XLOOKUP(Tabela9[[#This Row],[SEMANAL]],[1]!Tabela10[[#All],[Coluna1]],[1]!Tabela10[[#All],[Coluna2]])</f>
        <v>580952.38095238095</v>
      </c>
      <c r="P23" s="7">
        <f>IFERROR(GETPIVOTDATA("[Measures].[Soma de TOTAL 3]",'[1]BASE PYTHON'!$P$32,"[Intervalo 2].[SEMANA]","[Intervalo 2].[SEMANA].&amp;[3]"),0)</f>
        <v>190257.24000000017</v>
      </c>
      <c r="Q23" s="7">
        <f>O23-P23</f>
        <v>390695.14095238078</v>
      </c>
      <c r="R23" s="4"/>
      <c r="S23" s="17" t="s">
        <v>21</v>
      </c>
      <c r="T23" s="17" t="s">
        <v>21</v>
      </c>
      <c r="U23" s="17">
        <f>_xlfn.XLOOKUP(Tabela2[[#This Row],[REFERENCIA]],'[1]BASE PYTHON'!$A$63:$A$79,'[1]BASE PYTHON'!$B$63:$B$79)</f>
        <v>35</v>
      </c>
      <c r="V23" s="17">
        <f ca="1">IFERROR(VLOOKUP(Tabela2[[#This Row],[REFERENCIA]],'[1]BASE PYTHON'!$K:$N,'[1]BASE PYTHON'!L$1,0),0)</f>
        <v>0</v>
      </c>
      <c r="W23" s="17">
        <f t="shared" ca="1" si="1"/>
        <v>35</v>
      </c>
    </row>
    <row r="24" spans="1:43" x14ac:dyDescent="0.25">
      <c r="A24" s="42" t="s">
        <v>14</v>
      </c>
      <c r="B24" s="42" t="s">
        <v>42</v>
      </c>
      <c r="C24" s="22">
        <f>_xlfn.XLOOKUP(Tabela13[[#This Row],[REFERENCIA]],[1]!Tabela2[VENDEDOR],[1]!Tabela2[META A],0)</f>
        <v>169000</v>
      </c>
      <c r="D24" s="22">
        <f>_xlfn.XLOOKUP(Tabela13[[#This Row],[REFERENCIA]],'[1]BASE PYTHON'!$E:$E,'[1]BASE PYTHON'!$F:$F,0)</f>
        <v>130217.75999999982</v>
      </c>
      <c r="E24" s="43">
        <f>Tabela13[[#This Row],[META A]]-Tabela13[[#This Row],[ATINGIDO]]</f>
        <v>38782.24000000018</v>
      </c>
      <c r="F24" s="4"/>
      <c r="G24" s="18" t="s">
        <v>24</v>
      </c>
      <c r="H24" s="18" t="s">
        <v>45</v>
      </c>
      <c r="I24" s="19">
        <f>_xlfn.XLOOKUP(Tabela5[[#This Row],[REFERENCIA]],'[1]BASE PYTHON'!$A$39:$A$55,'[1]BASE PYTHON'!$B$39:$B$55,0)</f>
        <v>11080</v>
      </c>
      <c r="J24" s="19">
        <f>_xlfn.XLOOKUP(Tabela5[[#This Row],[REFERENCIA]],'[1]BASE PYTHON'!$H:$H,'[1]BASE PYTHON'!$I:$I,0)</f>
        <v>58769.760000000009</v>
      </c>
      <c r="K24" s="20">
        <f>Tabela5[[#This Row],[COMPROMISSO]]-Tabela5[[#This Row],[ATINGIDO]]</f>
        <v>-47689.760000000009</v>
      </c>
      <c r="L24" s="4"/>
      <c r="M24" s="4"/>
      <c r="N24" s="4" t="s">
        <v>50</v>
      </c>
      <c r="O24" s="2" cm="1">
        <f t="array" ref="O24">_xlfn.XLOOKUP(Tabela9[[#This Row],[SEMANAL]],[1]!Tabela10[[#All],[Coluna1]],[1]!Tabela10[[#All],[Coluna2]])</f>
        <v>726190.47619047621</v>
      </c>
      <c r="P24" s="7">
        <f>IFERROR(GETPIVOTDATA("[Measures].[Soma de TOTAL 3]",'[1]BASE PYTHON'!$P$32,"[Intervalo 2].[SEMANA]","[Intervalo 2].[SEMANA].&amp;[4]"),0)</f>
        <v>54862.269999999917</v>
      </c>
      <c r="Q24" s="7">
        <f>O24-P24</f>
        <v>671328.20619047631</v>
      </c>
      <c r="R24" s="4"/>
      <c r="S24" s="17" t="s">
        <v>22</v>
      </c>
      <c r="T24" s="17" t="s">
        <v>22</v>
      </c>
      <c r="U24" s="17">
        <f>_xlfn.XLOOKUP(Tabela2[[#This Row],[REFERENCIA]],'[1]BASE PYTHON'!$A$63:$A$79,'[1]BASE PYTHON'!$B$63:$B$79)</f>
        <v>35</v>
      </c>
      <c r="V24" s="17">
        <f ca="1">IFERROR(VLOOKUP(Tabela2[[#This Row],[REFERENCIA]],'[1]BASE PYTHON'!$K:$N,'[1]BASE PYTHON'!L$1,0),0)</f>
        <v>0</v>
      </c>
      <c r="W24" s="17">
        <f t="shared" ca="1" si="1"/>
        <v>35</v>
      </c>
    </row>
    <row r="25" spans="1:43" x14ac:dyDescent="0.25">
      <c r="A25" s="42" t="s">
        <v>15</v>
      </c>
      <c r="B25" s="42" t="s">
        <v>43</v>
      </c>
      <c r="C25" s="22">
        <f>_xlfn.XLOOKUP(Tabela13[[#This Row],[REFERENCIA]],[1]!Tabela2[VENDEDOR],[1]!Tabela2[META A],0)</f>
        <v>217500</v>
      </c>
      <c r="D25" s="22">
        <f>_xlfn.XLOOKUP(Tabela13[[#This Row],[REFERENCIA]],'[1]BASE PYTHON'!$E:$E,'[1]BASE PYTHON'!$F:$F,0)</f>
        <v>122031.32999999971</v>
      </c>
      <c r="E25" s="43">
        <f>Tabela13[[#This Row],[META A]]-Tabela13[[#This Row],[ATINGIDO]]</f>
        <v>95468.670000000289</v>
      </c>
      <c r="F25" s="4"/>
      <c r="G25" s="18" t="s">
        <v>22</v>
      </c>
      <c r="H25" s="18" t="s">
        <v>22</v>
      </c>
      <c r="I25" s="19">
        <f>_xlfn.XLOOKUP(Tabela5[[#This Row],[REFERENCIA]],'[1]BASE PYTHON'!$A$39:$A$55,'[1]BASE PYTHON'!$B$39:$B$55,0)</f>
        <v>15790</v>
      </c>
      <c r="J25" s="19">
        <f>_xlfn.XLOOKUP(Tabela5[[#This Row],[REFERENCIA]],'[1]BASE PYTHON'!$H:$H,'[1]BASE PYTHON'!$I:$I,0)</f>
        <v>59228.230000000018</v>
      </c>
      <c r="K25" s="20">
        <f>Tabela5[[#This Row],[COMPROMISSO]]-Tabela5[[#This Row],[ATINGIDO]]</f>
        <v>-43438.230000000018</v>
      </c>
      <c r="L25" s="4"/>
      <c r="M25" s="4"/>
      <c r="N25" s="4" t="s">
        <v>52</v>
      </c>
      <c r="O25" s="2" cm="1">
        <f t="array" ref="O25">_xlfn.XLOOKUP(Tabela9[[#This Row],[SEMANAL]],[1]!Tabela10[[#All],[Coluna1]],[1]!Tabela10[[#All],[Coluna2]])</f>
        <v>726190.47619047621</v>
      </c>
      <c r="P25" s="7">
        <f>IFERROR(GETPIVOTDATA("[Measures].[Soma de TOTAL 3]",'[1]BASE PYTHON'!$P$32,"[Intervalo 2].[SEMANA]","[Intervalo 2].[SEMANA].&amp;[5]"),0)</f>
        <v>0</v>
      </c>
      <c r="Q25" s="7">
        <f>O25-P25</f>
        <v>726190.47619047621</v>
      </c>
      <c r="R25" s="4"/>
      <c r="S25" s="17" t="s">
        <v>15</v>
      </c>
      <c r="T25" s="17" t="s">
        <v>43</v>
      </c>
      <c r="U25" s="17">
        <f>_xlfn.XLOOKUP(Tabela2[[#This Row],[REFERENCIA]],'[1]BASE PYTHON'!$A$63:$A$79,'[1]BASE PYTHON'!$B$63:$B$79)</f>
        <v>35</v>
      </c>
      <c r="V25" s="17">
        <f ca="1">IFERROR(VLOOKUP(Tabela2[[#This Row],[REFERENCIA]],'[1]BASE PYTHON'!$K:$N,'[1]BASE PYTHON'!L$1,0),0)</f>
        <v>0</v>
      </c>
      <c r="W25" s="17">
        <f t="shared" ca="1" si="1"/>
        <v>35</v>
      </c>
    </row>
    <row r="26" spans="1:43" x14ac:dyDescent="0.25">
      <c r="A26" s="42" t="s">
        <v>16</v>
      </c>
      <c r="B26" s="42" t="s">
        <v>16</v>
      </c>
      <c r="C26" s="22">
        <f>_xlfn.XLOOKUP(Tabela13[[#This Row],[REFERENCIA]],[1]!Tabela2[VENDEDOR],[1]!Tabela2[META A],0)</f>
        <v>95500</v>
      </c>
      <c r="D26" s="22">
        <f>_xlfn.XLOOKUP(Tabela13[[#This Row],[REFERENCIA]],'[1]BASE PYTHON'!$E:$E,'[1]BASE PYTHON'!$F:$F,0)</f>
        <v>45154.940000000046</v>
      </c>
      <c r="E26" s="43">
        <f>Tabela13[[#This Row],[META A]]-Tabela13[[#This Row],[ATINGIDO]]</f>
        <v>50345.059999999954</v>
      </c>
      <c r="F26" s="4"/>
      <c r="G26" s="18" t="s">
        <v>23</v>
      </c>
      <c r="H26" s="18" t="s">
        <v>44</v>
      </c>
      <c r="I26" s="19">
        <f>_xlfn.XLOOKUP(Tabela5[[#This Row],[REFERENCIA]],'[1]BASE PYTHON'!$A$39:$A$55,'[1]BASE PYTHON'!$B$39:$B$55,0)</f>
        <v>10060</v>
      </c>
      <c r="J26" s="19">
        <f>_xlfn.XLOOKUP(Tabela5[[#This Row],[REFERENCIA]],'[1]BASE PYTHON'!$H:$H,'[1]BASE PYTHON'!$I:$I,0)</f>
        <v>39507.460000000057</v>
      </c>
      <c r="K26" s="20">
        <f>Tabela5[[#This Row],[COMPROMISSO]]-Tabela5[[#This Row],[ATINGIDO]]</f>
        <v>-29447.460000000057</v>
      </c>
      <c r="L26" s="4"/>
      <c r="M26" s="4"/>
      <c r="N26" s="4"/>
      <c r="O26" s="2"/>
      <c r="P26" s="4"/>
      <c r="Q26" s="4"/>
      <c r="R26" s="4"/>
      <c r="S26" s="17" t="s">
        <v>23</v>
      </c>
      <c r="T26" s="17" t="s">
        <v>44</v>
      </c>
      <c r="U26" s="17">
        <f>_xlfn.XLOOKUP(Tabela2[[#This Row],[REFERENCIA]],'[1]BASE PYTHON'!$A$63:$A$79,'[1]BASE PYTHON'!$B$63:$B$79)</f>
        <v>35</v>
      </c>
      <c r="V26" s="17">
        <f ca="1">IFERROR(VLOOKUP(Tabela2[[#This Row],[REFERENCIA]],'[1]BASE PYTHON'!$K:$N,'[1]BASE PYTHON'!L$1,0),0)</f>
        <v>0</v>
      </c>
      <c r="W26" s="17">
        <f t="shared" ca="1" si="1"/>
        <v>35</v>
      </c>
    </row>
    <row r="27" spans="1:43" x14ac:dyDescent="0.25">
      <c r="A27" s="42" t="s">
        <v>17</v>
      </c>
      <c r="B27" s="42" t="s">
        <v>17</v>
      </c>
      <c r="C27" s="22">
        <f>_xlfn.XLOOKUP(Tabela13[[#This Row],[REFERENCIA]],[1]!Tabela2[VENDEDOR],[1]!Tabela2[META A],0)</f>
        <v>272000</v>
      </c>
      <c r="D27" s="22">
        <f>_xlfn.XLOOKUP(Tabela13[[#This Row],[REFERENCIA]],'[1]BASE PYTHON'!$E:$E,'[1]BASE PYTHON'!$F:$F,0)</f>
        <v>211937.01999999859</v>
      </c>
      <c r="E27" s="43">
        <f>Tabela13[[#This Row],[META A]]-Tabela13[[#This Row],[ATINGIDO]]</f>
        <v>60062.980000001407</v>
      </c>
      <c r="F27" s="4"/>
      <c r="G27" s="18" t="s">
        <v>7</v>
      </c>
      <c r="H27" s="18" t="s">
        <v>7</v>
      </c>
      <c r="I27" s="19">
        <f>_xlfn.XLOOKUP(Tabela5[[#This Row],[REFERENCIA]],'[1]BASE PYTHON'!$A$39:$A$55,'[1]BASE PYTHON'!$B$39:$B$55,0)</f>
        <v>5870</v>
      </c>
      <c r="J27" s="19">
        <f>_xlfn.XLOOKUP(Tabela5[[#This Row],[REFERENCIA]],'[1]BASE PYTHON'!$H:$H,'[1]BASE PYTHON'!$I:$I,0)</f>
        <v>48786.559999999998</v>
      </c>
      <c r="K27" s="20">
        <f>Tabela5[[#This Row],[COMPROMISSO]]-Tabela5[[#This Row],[ATINGIDO]]</f>
        <v>-42916.56</v>
      </c>
      <c r="L27" s="4"/>
      <c r="M27" s="4"/>
      <c r="N27" s="4"/>
      <c r="O27" s="4"/>
      <c r="P27" s="4"/>
      <c r="Q27" s="4"/>
      <c r="R27" s="4"/>
    </row>
    <row r="28" spans="1:43" x14ac:dyDescent="0.25">
      <c r="A28" s="42" t="s">
        <v>18</v>
      </c>
      <c r="B28" s="42" t="s">
        <v>18</v>
      </c>
      <c r="C28" s="22">
        <f>_xlfn.XLOOKUP(Tabela13[[#This Row],[REFERENCIA]],[1]!Tabela2[VENDEDOR],[1]!Tabela2[META A],0)</f>
        <v>331500</v>
      </c>
      <c r="D28" s="22">
        <f>_xlfn.XLOOKUP(Tabela13[[#This Row],[REFERENCIA]],'[1]BASE PYTHON'!$E:$E,'[1]BASE PYTHON'!$F:$F,0)</f>
        <v>251412.51500000042</v>
      </c>
      <c r="E28" s="43">
        <f>Tabela13[[#This Row],[META A]]-Tabela13[[#This Row],[ATINGIDO]]</f>
        <v>80087.484999999579</v>
      </c>
      <c r="F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1:43" x14ac:dyDescent="0.25">
      <c r="A29" s="42" t="s">
        <v>27</v>
      </c>
      <c r="B29" s="42" t="s">
        <v>27</v>
      </c>
      <c r="C29" s="22">
        <f>_xlfn.XLOOKUP(Tabela13[[#This Row],[REFERENCIA]],[1]!Tabela2[VENDEDOR],[1]!Tabela2[META A],0)</f>
        <v>0</v>
      </c>
      <c r="D29" s="22">
        <f>_xlfn.XLOOKUP(Tabela13[[#This Row],[REFERENCIA]],'[1]BASE PYTHON'!$E:$E,'[1]BASE PYTHON'!$F:$F,0)</f>
        <v>0</v>
      </c>
      <c r="E29" s="43">
        <f>Tabela13[[#This Row],[META A]]-Tabela13[[#This Row],[ATINGIDO]]</f>
        <v>0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 t="s">
        <v>47</v>
      </c>
      <c r="U29" s="4" t="s">
        <v>25</v>
      </c>
      <c r="V29" s="4" t="s">
        <v>3</v>
      </c>
      <c r="W29" s="4" t="s">
        <v>2</v>
      </c>
    </row>
    <row r="30" spans="1:43" x14ac:dyDescent="0.25">
      <c r="A30" s="42" t="s">
        <v>19</v>
      </c>
      <c r="B30" s="42" t="s">
        <v>19</v>
      </c>
      <c r="C30" s="22">
        <f>_xlfn.XLOOKUP(Tabela13[[#This Row],[REFERENCIA]],[1]!Tabela2[VENDEDOR],[1]!Tabela2[META A],0)</f>
        <v>142000</v>
      </c>
      <c r="D30" s="22">
        <f>_xlfn.XLOOKUP(Tabela13[[#This Row],[REFERENCIA]],'[1]BASE PYTHON'!$E:$E,'[1]BASE PYTHON'!$F:$F,0)</f>
        <v>107918.3099999995</v>
      </c>
      <c r="E30" s="43">
        <f>Tabela13[[#This Row],[META A]]-Tabela13[[#This Row],[ATINGIDO]]</f>
        <v>34081.690000000497</v>
      </c>
      <c r="F30" s="4"/>
      <c r="G30" s="4"/>
      <c r="H30" s="4" t="s">
        <v>47</v>
      </c>
      <c r="I30" s="4" t="s">
        <v>25</v>
      </c>
      <c r="J30" s="4" t="s">
        <v>3</v>
      </c>
      <c r="K30" s="4" t="s">
        <v>2</v>
      </c>
      <c r="L30" s="4"/>
      <c r="M30" s="4"/>
      <c r="N30" s="4"/>
      <c r="O30" s="4"/>
      <c r="P30" s="4"/>
      <c r="Q30" s="4"/>
      <c r="R30" s="4"/>
      <c r="S30" s="4"/>
      <c r="T30" s="4" t="s">
        <v>4</v>
      </c>
      <c r="U30" s="5" cm="1">
        <f t="array" ref="U30">_xlfn.XLOOKUP(Tabela12[[#This Row],[SEMANAL]],[1]!Tabela11[[#All],[Coluna1]],[1]!Tabela11[[#All],[Coluna2]])</f>
        <v>53.333333333333336</v>
      </c>
      <c r="V30" s="5">
        <f>IFERROR(GETPIVOTDATA("[Measures].[Contagem Distinta de COD_CLIENTE 2]",'[1]BASE PYTHON'!$P$83,"[Intervalo 3].[SEMANAL]","[Intervalo 3].[SEMANAL].&amp;[1]"),0)</f>
        <v>21</v>
      </c>
      <c r="W30" s="6">
        <f>U30-V30</f>
        <v>32.333333333333336</v>
      </c>
    </row>
    <row r="31" spans="1:43" x14ac:dyDescent="0.25">
      <c r="A31" s="42" t="s">
        <v>20</v>
      </c>
      <c r="B31" s="42" t="s">
        <v>20</v>
      </c>
      <c r="C31" s="22">
        <f>_xlfn.XLOOKUP(Tabela13[[#This Row],[REFERENCIA]],[1]!Tabela2[VENDEDOR],[1]!Tabela2[META A],0)</f>
        <v>175000</v>
      </c>
      <c r="D31" s="22">
        <f>_xlfn.XLOOKUP(Tabela13[[#This Row],[REFERENCIA]],'[1]BASE PYTHON'!$E:$E,'[1]BASE PYTHON'!$F:$F,0)</f>
        <v>135944.54999999996</v>
      </c>
      <c r="E31" s="43">
        <f>Tabela13[[#This Row],[META A]]-Tabela13[[#This Row],[ATINGIDO]]</f>
        <v>39055.450000000041</v>
      </c>
      <c r="F31" s="4"/>
      <c r="G31" s="4"/>
      <c r="H31" s="4" t="s">
        <v>4</v>
      </c>
      <c r="I31" s="2" cm="1">
        <f t="array" ref="I31">_xlfn.XLOOKUP(Tabela6[[#This Row],[SEMANAL]],[1]!Tabela9[[#All],[Coluna1]],[1]!Tabela9[[#All],[Coluna2]])</f>
        <v>283809.52380952379</v>
      </c>
      <c r="J31" s="2">
        <f>IFERROR(GETPIVOTDATA("[Measures].[Soma de TOTAL 3]",'[1]BASE PYTHON'!$P$4,"[Intervalo 2].[SEMANA]","[Intervalo 2].[SEMANA].&amp;[1]"),0)</f>
        <v>119805.16999999987</v>
      </c>
      <c r="K31" s="7">
        <f>I31-J31</f>
        <v>164004.35380952392</v>
      </c>
      <c r="L31" s="4"/>
      <c r="M31" s="4"/>
      <c r="N31" s="4"/>
      <c r="O31" s="4"/>
      <c r="P31" s="4"/>
      <c r="Q31" s="4"/>
      <c r="R31" s="4"/>
      <c r="S31" s="4"/>
      <c r="T31" s="4" t="s">
        <v>48</v>
      </c>
      <c r="U31" s="5" cm="1">
        <f t="array" ref="U31">_xlfn.XLOOKUP(Tabela12[[#This Row],[SEMANAL]],[1]!Tabela11[[#All],[Coluna1]],[1]!Tabela11[[#All],[Coluna2]])</f>
        <v>133.33333333333334</v>
      </c>
      <c r="V31" s="5">
        <f>IFERROR(GETPIVOTDATA("[Measures].[Contagem Distinta de COD_CLIENTE 2]",'[1]BASE PYTHON'!$P$83,"[Intervalo 3].[SEMANAL]","[Intervalo 3].[SEMANAL].&amp;[2]"),0)</f>
        <v>78</v>
      </c>
      <c r="W31" s="6">
        <f t="shared" ref="W31:W33" si="2">U31-V31</f>
        <v>55.333333333333343</v>
      </c>
    </row>
    <row r="32" spans="1:43" x14ac:dyDescent="0.25">
      <c r="A32" s="42" t="s">
        <v>21</v>
      </c>
      <c r="B32" s="42" t="s">
        <v>21</v>
      </c>
      <c r="C32" s="22">
        <f>_xlfn.XLOOKUP(Tabela13[[#This Row],[REFERENCIA]],[1]!Tabela2[VENDEDOR],[1]!Tabela2[META A],0)</f>
        <v>270000</v>
      </c>
      <c r="D32" s="22">
        <f>_xlfn.XLOOKUP(Tabela13[[#This Row],[REFERENCIA]],'[1]BASE PYTHON'!$E:$E,'[1]BASE PYTHON'!$F:$F,0)</f>
        <v>215409.78999999963</v>
      </c>
      <c r="E32" s="43">
        <f>Tabela13[[#This Row],[META A]]-Tabela13[[#This Row],[ATINGIDO]]</f>
        <v>54590.21000000037</v>
      </c>
      <c r="F32" s="4"/>
      <c r="G32" s="4"/>
      <c r="H32" s="4" t="s">
        <v>48</v>
      </c>
      <c r="I32" s="2" cm="1">
        <f t="array" ref="I32">_xlfn.XLOOKUP(Tabela6[[#This Row],[SEMANAL]],[1]!Tabela9[[#All],[Coluna1]],[1]!Tabela9[[#All],[Coluna2]])</f>
        <v>709523.80952380947</v>
      </c>
      <c r="J32" s="7">
        <f>IFERROR(GETPIVOTDATA("[Measures].[Soma de TOTAL 3]",'[1]BASE PYTHON'!$P$4,"[Intervalo 2].[SEMANA]","[Intervalo 2].[SEMANA].&amp;[2]"),0)</f>
        <v>583783.27000000176</v>
      </c>
      <c r="K32" s="7">
        <f t="shared" ref="K32:K34" si="3">I32-J32</f>
        <v>125740.5395238077</v>
      </c>
      <c r="L32" s="4"/>
      <c r="M32" s="4"/>
      <c r="N32" s="4"/>
      <c r="O32" s="4"/>
      <c r="P32" s="4"/>
      <c r="Q32" s="4"/>
      <c r="R32" s="4"/>
      <c r="S32" s="4"/>
      <c r="T32" s="4" t="s">
        <v>49</v>
      </c>
      <c r="U32" s="5" cm="1">
        <f t="array" ref="U32">_xlfn.XLOOKUP(Tabela12[[#This Row],[SEMANAL]],[1]!Tabela11[[#All],[Coluna1]],[1]!Tabela11[[#All],[Coluna2]])</f>
        <v>106.66666666666667</v>
      </c>
      <c r="V32" s="5">
        <f>IFERROR(GETPIVOTDATA("[Measures].[Contagem Distinta de COD_CLIENTE 2]",'[1]BASE PYTHON'!$P$83,"[Intervalo 3].[SEMANAL]","[Intervalo 3].[SEMANAL].&amp;[3]"),0)</f>
        <v>0</v>
      </c>
      <c r="W32" s="6">
        <f t="shared" si="2"/>
        <v>106.66666666666667</v>
      </c>
    </row>
    <row r="33" spans="1:23" x14ac:dyDescent="0.25">
      <c r="A33" s="42" t="s">
        <v>22</v>
      </c>
      <c r="B33" s="42" t="s">
        <v>22</v>
      </c>
      <c r="C33" s="22">
        <f>_xlfn.XLOOKUP(Tabela13[[#This Row],[REFERENCIA]],[1]!Tabela2[VENDEDOR],[1]!Tabela2[META A],0)</f>
        <v>88000</v>
      </c>
      <c r="D33" s="22">
        <f>_xlfn.XLOOKUP(Tabela13[[#This Row],[REFERENCIA]],'[1]BASE PYTHON'!$E:$E,'[1]BASE PYTHON'!$F:$F,0)</f>
        <v>59228.230000000018</v>
      </c>
      <c r="E33" s="43">
        <f>Tabela13[[#This Row],[META A]]-Tabela13[[#This Row],[ATINGIDO]]</f>
        <v>28771.769999999982</v>
      </c>
      <c r="F33" s="4"/>
      <c r="G33" s="4"/>
      <c r="H33" s="4" t="s">
        <v>49</v>
      </c>
      <c r="I33" s="2" cm="1">
        <f t="array" ref="I33">_xlfn.XLOOKUP(Tabela6[[#This Row],[SEMANAL]],[1]!Tabela9[[#All],[Coluna1]],[1]!Tabela9[[#All],[Coluna2]])</f>
        <v>567619.04761904757</v>
      </c>
      <c r="J33" s="7">
        <f>IFERROR(GETPIVOTDATA("[Measures].[Soma de TOTAL 3]",'[1]BASE PYTHON'!$P$4,"[Intervalo 2].[SEMANA]","[Intervalo 2].[SEMANA].&amp;[3]"),0)</f>
        <v>485447.22000000247</v>
      </c>
      <c r="K33" s="7">
        <f t="shared" si="3"/>
        <v>82171.8276190451</v>
      </c>
      <c r="L33" s="4"/>
      <c r="M33" s="4"/>
      <c r="N33" s="4"/>
      <c r="O33" s="4"/>
      <c r="P33" s="4"/>
      <c r="Q33" s="4"/>
      <c r="R33" s="4"/>
      <c r="S33" s="4"/>
      <c r="T33" s="4" t="s">
        <v>50</v>
      </c>
      <c r="U33" s="5" cm="1">
        <f t="array" ref="U33">_xlfn.XLOOKUP(Tabela12[[#This Row],[SEMANAL]],[1]!Tabela11[[#All],[Coluna1]],[1]!Tabela11[[#All],[Coluna2]])</f>
        <v>133.33333333333334</v>
      </c>
      <c r="V33" s="5">
        <f>IFERROR(GETPIVOTDATA("[Measures].[Contagem Distinta de COD_CLIENTE 2]",'[1]BASE PYTHON'!$P$83,"[Intervalo 3].[SEMANAL]","[Intervalo 3].[SEMANAL].&amp;[4]"),0)</f>
        <v>0</v>
      </c>
      <c r="W33" s="6">
        <f t="shared" si="2"/>
        <v>133.33333333333334</v>
      </c>
    </row>
    <row r="34" spans="1:23" x14ac:dyDescent="0.25">
      <c r="A34" s="42" t="s">
        <v>23</v>
      </c>
      <c r="B34" s="42" t="s">
        <v>44</v>
      </c>
      <c r="C34" s="22">
        <f>_xlfn.XLOOKUP(Tabela13[[#This Row],[REFERENCIA]],[1]!Tabela2[VENDEDOR],[1]!Tabela2[META A],0)</f>
        <v>58000</v>
      </c>
      <c r="D34" s="22">
        <f>_xlfn.XLOOKUP(Tabela13[[#This Row],[REFERENCIA]],'[1]BASE PYTHON'!$E:$E,'[1]BASE PYTHON'!$F:$F,0)</f>
        <v>39507.460000000057</v>
      </c>
      <c r="E34" s="43">
        <f>Tabela13[[#This Row],[META A]]-Tabela13[[#This Row],[ATINGIDO]]</f>
        <v>18492.539999999943</v>
      </c>
      <c r="F34" s="4"/>
      <c r="G34" s="4"/>
      <c r="H34" s="4" t="s">
        <v>50</v>
      </c>
      <c r="I34" s="2" cm="1">
        <f t="array" ref="I34">_xlfn.XLOOKUP(Tabela6[[#This Row],[SEMANAL]],[1]!Tabela9[[#All],[Coluna1]],[1]!Tabela9[[#All],[Coluna2]])</f>
        <v>709523.80952380947</v>
      </c>
      <c r="J34" s="7">
        <f>IFERROR(GETPIVOTDATA("[Measures].[Soma de TOTAL 3]",'[1]BASE PYTHON'!$P$4,"[Intervalo 2].[SEMANA]","[Intervalo 2].[SEMANA].&amp;[4]"),0)</f>
        <v>541962.97500000265</v>
      </c>
      <c r="K34" s="7">
        <f t="shared" si="3"/>
        <v>167560.83452380681</v>
      </c>
      <c r="L34" s="4"/>
      <c r="M34" s="4"/>
      <c r="N34" s="4"/>
      <c r="O34" s="4"/>
      <c r="P34" s="4"/>
      <c r="Q34" s="4"/>
      <c r="R34" s="4"/>
      <c r="S34" s="4"/>
      <c r="T34" s="4" t="s">
        <v>52</v>
      </c>
      <c r="U34" s="5" cm="1">
        <f t="array" ref="U34">_xlfn.XLOOKUP(Tabela12[[#This Row],[SEMANAL]],[1]!Tabela11[[#All],[Coluna1]],[1]!Tabela11[[#All],[Coluna2]])</f>
        <v>39</v>
      </c>
      <c r="V34" s="5">
        <f>IFERROR(GETPIVOTDATA("[Measures].[Contagem Distinta de COD_CLIENTE 2]",'[1]BASE PYTHON'!$P$83,"[Intervalo 3].[SEMANAL]","[Intervalo 3].[SEMANAL].&amp;[5]"),0)</f>
        <v>0</v>
      </c>
      <c r="W34" s="6">
        <f>U34-V34</f>
        <v>39</v>
      </c>
    </row>
    <row r="35" spans="1:23" x14ac:dyDescent="0.25">
      <c r="A35" s="42" t="s">
        <v>24</v>
      </c>
      <c r="B35" s="42" t="s">
        <v>45</v>
      </c>
      <c r="C35" s="22">
        <f>_xlfn.XLOOKUP(Tabela13[[#This Row],[REFERENCIA]],[1]!Tabela2[VENDEDOR],[1]!Tabela2[META A],0)</f>
        <v>79000</v>
      </c>
      <c r="D35" s="22">
        <f>_xlfn.XLOOKUP(Tabela13[[#This Row],[REFERENCIA]],'[1]BASE PYTHON'!$E:$E,'[1]BASE PYTHON'!$F:$F,0)</f>
        <v>58769.760000000009</v>
      </c>
      <c r="E35" s="43">
        <f>Tabela13[[#This Row],[META A]]-Tabela13[[#This Row],[ATINGIDO]]</f>
        <v>20230.239999999991</v>
      </c>
      <c r="F35" s="4"/>
      <c r="G35" s="4"/>
      <c r="H35" s="4" t="s">
        <v>52</v>
      </c>
      <c r="I35" s="2" cm="1">
        <f t="array" ref="I35">_xlfn.XLOOKUP(Tabela6[[#This Row],[SEMANAL]],[1]!Tabela9[[#All],[Coluna1]],[1]!Tabela9[[#All],[Coluna2]])</f>
        <v>709523.80952380947</v>
      </c>
      <c r="J35" s="7">
        <f>IFERROR(GETPIVOTDATA("[Measures].[Soma de TOTAL 3]",'[1]BASE PYTHON'!$P$4,"[Intervalo 2].[SEMANA]","[Intervalo 2].[SEMANA].&amp;[5]"),0)</f>
        <v>0</v>
      </c>
      <c r="K35" s="7">
        <f>I35-J35</f>
        <v>709523.80952380947</v>
      </c>
      <c r="L35" s="4"/>
      <c r="M35" s="4"/>
      <c r="N35" s="4"/>
      <c r="O35" s="4"/>
      <c r="P35" s="4"/>
      <c r="Q35" s="4"/>
      <c r="R35" s="4"/>
      <c r="S35" s="4"/>
      <c r="T35" s="4"/>
      <c r="U35" s="2"/>
      <c r="V35" s="4"/>
      <c r="W35" s="4"/>
    </row>
    <row r="36" spans="1:23" x14ac:dyDescent="0.25">
      <c r="A36" s="42" t="s">
        <v>39</v>
      </c>
      <c r="B36" s="42" t="s">
        <v>39</v>
      </c>
      <c r="C36" s="22">
        <f>_xlfn.XLOOKUP(Tabela13[[#This Row],[REFERENCIA]],[1]!Tabela2[VENDEDOR],[1]!Tabela2[META A],0)</f>
        <v>1000</v>
      </c>
      <c r="D36" s="22">
        <f>_xlfn.XLOOKUP(Tabela13[[#This Row],[REFERENCIA]],'[1]BASE PYTHON'!$E:$E,'[1]BASE PYTHON'!$F:$F,0)</f>
        <v>869.6400000000001</v>
      </c>
      <c r="E36" s="43">
        <f>Tabela13[[#This Row],[META A]]-Tabela13[[#This Row],[ATINGIDO]]</f>
        <v>130.3599999999999</v>
      </c>
      <c r="F36" s="4"/>
      <c r="G36" s="4"/>
      <c r="H36" s="4"/>
      <c r="I36" s="2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2"/>
      <c r="V36" s="4"/>
      <c r="W36" s="4"/>
    </row>
    <row r="37" spans="1:23" x14ac:dyDescent="0.25">
      <c r="A37" s="21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spans="1:23" x14ac:dyDescent="0.25">
      <c r="A38" s="21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1:23" x14ac:dyDescent="0.25">
      <c r="A39" s="21"/>
      <c r="B39" s="4" t="s">
        <v>47</v>
      </c>
      <c r="C39" s="4" t="s">
        <v>25</v>
      </c>
      <c r="D39" s="4" t="s">
        <v>3</v>
      </c>
      <c r="E39" s="4" t="s">
        <v>2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spans="1:23" x14ac:dyDescent="0.25">
      <c r="A40" s="21"/>
      <c r="B40" s="4" t="s">
        <v>4</v>
      </c>
      <c r="C40" s="2" cm="1">
        <f t="array" ref="C40">_xlfn.XLOOKUP(Tabela3[[#This Row],[SEMANAL]],[1]!Tabela7[[#All],[Coluna1]],[1]!Tabela7[[#All],[Coluna2]])</f>
        <v>574380.95238095243</v>
      </c>
      <c r="D40" s="2">
        <f>IFERROR(GETPIVOTDATA("[Measures].[Soma de TOTAL 3]",'[1]BASE PYTHON'!$P$47,"[Intervalo 2].[SEMANA]","[Intervalo 2].[SEMANA].&amp;[1]"),0)</f>
        <v>162832.92999999959</v>
      </c>
      <c r="E40" s="7">
        <f>C40-D40</f>
        <v>411548.02238095284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spans="1:23" x14ac:dyDescent="0.25">
      <c r="A41" s="21"/>
      <c r="B41" s="4" t="s">
        <v>48</v>
      </c>
      <c r="C41" s="2" cm="1">
        <f t="array" ref="C41">_xlfn.XLOOKUP(Tabela3[[#This Row],[SEMANAL]],[1]!Tabela7[[#All],[Coluna1]],[1]!Tabela7[[#All],[Coluna2]])</f>
        <v>1435952.3809523811</v>
      </c>
      <c r="D41" s="2">
        <f>IFERROR(GETPIVOTDATA("[Measures].[Soma de TOTAL 3]",'[1]BASE PYTHON'!$P$47,"[Intervalo 2].[SEMANA]","[Intervalo 2].[SEMANA].&amp;[2]"),0)</f>
        <v>1394652.559999998</v>
      </c>
      <c r="E41" s="7">
        <f t="shared" ref="E41:E43" si="4">C41-D41</f>
        <v>41299.820952383103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spans="1:23" x14ac:dyDescent="0.25">
      <c r="A42" s="21"/>
      <c r="B42" s="4" t="s">
        <v>49</v>
      </c>
      <c r="C42" s="2" cm="1">
        <f t="array" ref="C42">_xlfn.XLOOKUP(Tabela3[[#This Row],[SEMANAL]],[1]!Tabela7[[#All],[Coluna1]],[1]!Tabela7[[#All],[Coluna2]])</f>
        <v>1148761.9047619049</v>
      </c>
      <c r="D42" s="2">
        <f>IFERROR(GETPIVOTDATA("[Measures].[Soma de TOTAL 3]",'[1]BASE PYTHON'!$P$47,"[Intervalo 2].[SEMANA]","[Intervalo 2].[SEMANA].&amp;[3]"),0)</f>
        <v>1139532.6350000028</v>
      </c>
      <c r="E42" s="7">
        <f t="shared" si="4"/>
        <v>9229.2697619020473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spans="1:23" x14ac:dyDescent="0.25">
      <c r="A43" s="21"/>
      <c r="B43" s="4" t="s">
        <v>50</v>
      </c>
      <c r="C43" s="2" cm="1">
        <f t="array" ref="C43">_xlfn.XLOOKUP(Tabela3[[#This Row],[SEMANAL]],[1]!Tabela7[[#All],[Coluna1]],[1]!Tabela7[[#All],[Coluna2]])</f>
        <v>1435952.3809523811</v>
      </c>
      <c r="D43" s="2">
        <f>IFERROR(GETPIVOTDATA("[Measures].[Soma de TOTAL 3]",'[1]BASE PYTHON'!$P$47,"[Intervalo 2].[SEMANA]","[Intervalo 2].[SEMANA].&amp;[4]"),0)</f>
        <v>1263493.1849999924</v>
      </c>
      <c r="E43" s="7">
        <f t="shared" si="4"/>
        <v>172459.19595238869</v>
      </c>
    </row>
    <row r="44" spans="1:23" x14ac:dyDescent="0.25">
      <c r="A44" s="21"/>
      <c r="B44" s="4" t="s">
        <v>52</v>
      </c>
      <c r="C44" s="2" cm="1">
        <f t="array" ref="C44">_xlfn.XLOOKUP(Tabela3[[#This Row],[SEMANAL]],[1]!Tabela7[[#All],[Coluna1]],[1]!Tabela7[[#All],[Coluna2]])</f>
        <v>1435952.3809523811</v>
      </c>
      <c r="D44" s="2">
        <f>IFERROR(GETPIVOTDATA("[Measures].[Soma de TOTAL 3]",'[1]BASE PYTHON'!$P$47,"[Intervalo 2].[SEMANA]","[Intervalo 2].[SEMANA].&amp;[5]"),0)</f>
        <v>0</v>
      </c>
      <c r="E44" s="7">
        <f t="shared" ref="E44" si="5">C44-D44</f>
        <v>1435952.3809523811</v>
      </c>
    </row>
    <row r="45" spans="1:23" x14ac:dyDescent="0.25">
      <c r="A45" s="21"/>
    </row>
    <row r="46" spans="1:23" x14ac:dyDescent="0.25">
      <c r="A46" s="21"/>
    </row>
    <row r="47" spans="1:23" x14ac:dyDescent="0.25">
      <c r="A47" s="21"/>
    </row>
    <row r="48" spans="1:23" x14ac:dyDescent="0.25">
      <c r="A48" s="21"/>
      <c r="C48"/>
      <c r="D48"/>
    </row>
    <row r="49" spans="1:4" x14ac:dyDescent="0.25">
      <c r="A49" s="21"/>
      <c r="C49"/>
      <c r="D49"/>
    </row>
    <row r="50" spans="1:4" x14ac:dyDescent="0.25">
      <c r="C50"/>
      <c r="D50"/>
    </row>
    <row r="51" spans="1:4" x14ac:dyDescent="0.25">
      <c r="A51" s="21"/>
      <c r="C51"/>
      <c r="D51"/>
    </row>
    <row r="52" spans="1:4" x14ac:dyDescent="0.25">
      <c r="A52" s="21"/>
      <c r="C52"/>
      <c r="D52"/>
    </row>
    <row r="53" spans="1:4" x14ac:dyDescent="0.25">
      <c r="A53" s="21"/>
      <c r="C53"/>
      <c r="D53"/>
    </row>
    <row r="54" spans="1:4" x14ac:dyDescent="0.25">
      <c r="A54" s="21"/>
      <c r="C54"/>
      <c r="D54"/>
    </row>
    <row r="55" spans="1:4" x14ac:dyDescent="0.25">
      <c r="A55" s="21"/>
      <c r="C55"/>
      <c r="D55"/>
    </row>
    <row r="56" spans="1:4" x14ac:dyDescent="0.25">
      <c r="A56" s="21"/>
      <c r="C56"/>
      <c r="D56"/>
    </row>
    <row r="57" spans="1:4" x14ac:dyDescent="0.25">
      <c r="A57" s="21"/>
      <c r="C57"/>
      <c r="D57"/>
    </row>
    <row r="58" spans="1:4" x14ac:dyDescent="0.25">
      <c r="A58" s="21"/>
      <c r="C58"/>
      <c r="D58"/>
    </row>
    <row r="59" spans="1:4" x14ac:dyDescent="0.25">
      <c r="A59" s="21"/>
      <c r="C59"/>
      <c r="D59"/>
    </row>
    <row r="60" spans="1:4" x14ac:dyDescent="0.25">
      <c r="A60" s="21"/>
      <c r="C60"/>
      <c r="D60"/>
    </row>
    <row r="61" spans="1:4" x14ac:dyDescent="0.25">
      <c r="A61" s="21"/>
      <c r="C61"/>
      <c r="D61"/>
    </row>
    <row r="62" spans="1:4" x14ac:dyDescent="0.25">
      <c r="A62" s="21"/>
      <c r="C62"/>
      <c r="D62"/>
    </row>
    <row r="63" spans="1:4" x14ac:dyDescent="0.25">
      <c r="A63" s="21"/>
      <c r="C63"/>
      <c r="D63"/>
    </row>
    <row r="64" spans="1:4" x14ac:dyDescent="0.25">
      <c r="A64" s="21"/>
      <c r="C64"/>
      <c r="D64"/>
    </row>
    <row r="65" spans="1:4" x14ac:dyDescent="0.25">
      <c r="A65" s="21"/>
      <c r="C65"/>
      <c r="D65"/>
    </row>
    <row r="66" spans="1:4" x14ac:dyDescent="0.25">
      <c r="C66"/>
      <c r="D66"/>
    </row>
    <row r="67" spans="1:4" x14ac:dyDescent="0.25">
      <c r="C67"/>
      <c r="D67"/>
    </row>
    <row r="68" spans="1:4" x14ac:dyDescent="0.25">
      <c r="C68"/>
      <c r="D68"/>
    </row>
    <row r="69" spans="1:4" x14ac:dyDescent="0.25">
      <c r="C69"/>
      <c r="D69"/>
    </row>
    <row r="70" spans="1:4" x14ac:dyDescent="0.25">
      <c r="C70"/>
      <c r="D70"/>
    </row>
    <row r="71" spans="1:4" x14ac:dyDescent="0.25">
      <c r="C71"/>
      <c r="D71"/>
    </row>
    <row r="72" spans="1:4" x14ac:dyDescent="0.25">
      <c r="C72"/>
      <c r="D72"/>
    </row>
    <row r="73" spans="1:4" x14ac:dyDescent="0.25">
      <c r="C73"/>
      <c r="D73"/>
    </row>
    <row r="74" spans="1:4" x14ac:dyDescent="0.25">
      <c r="C74"/>
      <c r="D74"/>
    </row>
    <row r="75" spans="1:4" x14ac:dyDescent="0.25">
      <c r="C75"/>
      <c r="D75"/>
    </row>
    <row r="76" spans="1:4" x14ac:dyDescent="0.25">
      <c r="C76"/>
      <c r="D76"/>
    </row>
    <row r="77" spans="1:4" x14ac:dyDescent="0.25">
      <c r="C77"/>
      <c r="D77"/>
    </row>
    <row r="78" spans="1:4" x14ac:dyDescent="0.25">
      <c r="C78"/>
      <c r="D78"/>
    </row>
    <row r="79" spans="1:4" x14ac:dyDescent="0.25">
      <c r="C79"/>
      <c r="D79"/>
    </row>
    <row r="80" spans="1:4" x14ac:dyDescent="0.25">
      <c r="C80"/>
      <c r="D80"/>
    </row>
    <row r="81" spans="3:4" x14ac:dyDescent="0.25">
      <c r="C81"/>
      <c r="D81"/>
    </row>
    <row r="82" spans="3:4" x14ac:dyDescent="0.25">
      <c r="C82"/>
      <c r="D82"/>
    </row>
    <row r="83" spans="3:4" x14ac:dyDescent="0.25">
      <c r="C83"/>
      <c r="D83"/>
    </row>
    <row r="84" spans="3:4" x14ac:dyDescent="0.25">
      <c r="C84"/>
      <c r="D84"/>
    </row>
    <row r="85" spans="3:4" x14ac:dyDescent="0.25">
      <c r="C85"/>
      <c r="D85"/>
    </row>
    <row r="86" spans="3:4" x14ac:dyDescent="0.25">
      <c r="C86"/>
      <c r="D86"/>
    </row>
    <row r="87" spans="3:4" x14ac:dyDescent="0.25">
      <c r="C87"/>
      <c r="D87"/>
    </row>
    <row r="88" spans="3:4" x14ac:dyDescent="0.25">
      <c r="C88"/>
      <c r="D88"/>
    </row>
    <row r="89" spans="3:4" x14ac:dyDescent="0.25">
      <c r="C89"/>
      <c r="D89"/>
    </row>
    <row r="90" spans="3:4" x14ac:dyDescent="0.25">
      <c r="C90"/>
      <c r="D90"/>
    </row>
  </sheetData>
  <phoneticPr fontId="2" type="noConversion"/>
  <conditionalFormatting sqref="A1:A49 A51:A1048576">
    <cfRule type="duplicateValues" dxfId="1" priority="2"/>
  </conditionalFormatting>
  <conditionalFormatting sqref="B12">
    <cfRule type="duplicateValues" dxfId="0" priority="1"/>
  </conditionalFormatting>
  <pageMargins left="0.511811024" right="0.511811024" top="0.78740157499999996" bottom="0.78740157499999996" header="0.31496062000000002" footer="0.31496062000000002"/>
  <tableParts count="1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iatagam Comercio LTDA</dc:creator>
  <cp:lastModifiedBy>iatagam Comercio LTDA</cp:lastModifiedBy>
  <dcterms:created xsi:type="dcterms:W3CDTF">2026-05-05T18:00:23Z</dcterms:created>
  <dcterms:modified xsi:type="dcterms:W3CDTF">2026-10-26T12:12:00Z</dcterms:modified>
</cp:coreProperties>
</file>